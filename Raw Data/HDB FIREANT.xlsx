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113f38e97295c2b7/Desktop/Banking Efficiency &amp; Profitability Engine/Raw Data/"/>
    </mc:Choice>
  </mc:AlternateContent>
  <xr:revisionPtr revIDLastSave="40" documentId="11_B5AD869ADB7E3963B5FA6C3E9AD295B71B0ABA64" xr6:coauthVersionLast="47" xr6:coauthVersionMax="47" xr10:uidLastSave="{00B0ED22-011C-4B9C-87BA-70CDBB062683}"/>
  <bookViews>
    <workbookView xWindow="-120" yWindow="-120" windowWidth="29040" windowHeight="15720" activeTab="2" xr2:uid="{00000000-000D-0000-FFFF-FFFF00000000}"/>
  </bookViews>
  <sheets>
    <sheet name="CDKT" sheetId="1" r:id="rId1"/>
    <sheet name="KQKD" sheetId="2" r:id="rId2"/>
    <sheet name="LCT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" i="2" l="1"/>
</calcChain>
</file>

<file path=xl/sharedStrings.xml><?xml version="1.0" encoding="utf-8"?>
<sst xmlns="http://schemas.openxmlformats.org/spreadsheetml/2006/main" count="272" uniqueCount="182">
  <si>
    <t>TÀI SẢN</t>
  </si>
  <si>
    <t>I. Tiền mặt, chứng từ có giá trị, ngoại tệ, kim loại quý, đá quý</t>
  </si>
  <si>
    <t>II. Tiền gửi tại NHNN</t>
  </si>
  <si>
    <t>III. Tín phiếu kho bạc và các giấy tờ có giá ngắn hạn đủ tiêu chuẩn khác</t>
  </si>
  <si>
    <t>IV. Tiền, vàng gửi tại các TCTD khác và cho vay các TCTD khác</t>
  </si>
  <si>
    <t>1. Tiền, Vàng gửi tại các TCTD khác</t>
  </si>
  <si>
    <t>2. Cho vay các TCTD khác</t>
  </si>
  <si>
    <t>3. Dự phòng rủi ro cho vay các TCTD khác</t>
  </si>
  <si>
    <t>V. Chứng khoán kinh doanh</t>
  </si>
  <si>
    <t>1. Chứng khoán kinh doanh</t>
  </si>
  <si>
    <t>2. Dự phòng giảm giá chứng khoán kinh doanh</t>
  </si>
  <si>
    <t>VI. Các công cụ tài chính phái sinh và các tài sản tài chính khác</t>
  </si>
  <si>
    <t>VII. Cho vay khách hàng</t>
  </si>
  <si>
    <t>1. Cho vay khách hàng</t>
  </si>
  <si>
    <t>2. Dự phòng rủi ro cho vay khách hàng</t>
  </si>
  <si>
    <t>VIII. Chứng khoán đầu tư</t>
  </si>
  <si>
    <t>1. Chứng khoán đầu tư sẵn sàng để bán</t>
  </si>
  <si>
    <t>2. Chứng khoán đầu tư giữ đến ngày đáo hạn</t>
  </si>
  <si>
    <t>3. Dự phòng giảm giá chứng khoán đầu tư</t>
  </si>
  <si>
    <t>IX. Góp vốn đầu tư dài hạn</t>
  </si>
  <si>
    <t>1. Đầu tư vào công ty con</t>
  </si>
  <si>
    <t>2. Góp vốn liên doanh</t>
  </si>
  <si>
    <t>3. Đầu tư vào công ty liên kết</t>
  </si>
  <si>
    <t>4. Đầu tư dài hạn khác</t>
  </si>
  <si>
    <t>5. Dự phòng giảm giá đầu tư dài hạn</t>
  </si>
  <si>
    <t>X. Tài sản cố định</t>
  </si>
  <si>
    <t>1. Tài sản cố định hữu hình</t>
  </si>
  <si>
    <t>- Nguyên giá</t>
  </si>
  <si>
    <t>- Giá trị hao mòn lũy kế</t>
  </si>
  <si>
    <t>2. Tài sản cố định thuê tài chính</t>
  </si>
  <si>
    <t>3. Tài sản cố định vô hình</t>
  </si>
  <si>
    <t>5. Chi phí XDCB dở dang</t>
  </si>
  <si>
    <t>XI. Bất động sản đầu tư</t>
  </si>
  <si>
    <t>XII. Tài sản có khác</t>
  </si>
  <si>
    <t>1. Các khoản phải thu</t>
  </si>
  <si>
    <t>2. Các khoản lãi, phí phải thu</t>
  </si>
  <si>
    <t>3. Tài sản thuế TNDN hoãn lại</t>
  </si>
  <si>
    <t>4. Tài sản có khác</t>
  </si>
  <si>
    <t>- Trong đó: Lợi thế thương mại</t>
  </si>
  <si>
    <t>5. Các khoản dự phòng rủi ro cho các tài sản có nội bảng khác</t>
  </si>
  <si>
    <t>NGUỒN VỐN</t>
  </si>
  <si>
    <t>I. Các khoản nợ chính phủ và NHNN</t>
  </si>
  <si>
    <t>II. Tiền gửi và cho vay các TCTD khác</t>
  </si>
  <si>
    <t>1. Tiền gửi các tổ chức tín dụng khác</t>
  </si>
  <si>
    <t>2. Vay các TCTD khác</t>
  </si>
  <si>
    <t>III. Tiền gửi khách hàng</t>
  </si>
  <si>
    <t>IV. Các công cụ tài chính phái sinh và các khoản nợ tài chính khác</t>
  </si>
  <si>
    <t>V. Vốn tài trợ, uỷ thác đầu tư mà ngân hàng chịu rủi ro</t>
  </si>
  <si>
    <t>VI. Phát hành giấy tờ có giá</t>
  </si>
  <si>
    <t>VII. Các khoản nợ khác</t>
  </si>
  <si>
    <t>1. Các khoản lãi, phí phải trả</t>
  </si>
  <si>
    <t>2.Thuế TNDN hoãn lại phải trả</t>
  </si>
  <si>
    <t>3. Các khoản phải trả và công nợ khác</t>
  </si>
  <si>
    <t>4. Dự phòng rủi ro khác</t>
  </si>
  <si>
    <t>VIII. Vốn và các quỹ</t>
  </si>
  <si>
    <t>1. Vốn của Tổ chức tín dụng</t>
  </si>
  <si>
    <t>- Vốn điều lệ</t>
  </si>
  <si>
    <t>- Vốn đầu tư XDCB</t>
  </si>
  <si>
    <t>- Thặng dư vốn cổ phần</t>
  </si>
  <si>
    <t>- Cổ phiếu quỹ</t>
  </si>
  <si>
    <t>- Cổ phiếu ưu đãi</t>
  </si>
  <si>
    <t>- Vốn khác</t>
  </si>
  <si>
    <t>2. Quỹ của TCTD</t>
  </si>
  <si>
    <t>3. Chênh lệch tỷ giá hối đoái</t>
  </si>
  <si>
    <t>4. Chênh lệch đánh giá lại tài sản</t>
  </si>
  <si>
    <t>5. Lợi nhuận chưa phân phối/Lỗ lũy kế</t>
  </si>
  <si>
    <t>6. Nguồn kinh phí, Quỹ khác</t>
  </si>
  <si>
    <t>IX. Lợi ích của cổ đông thiểu số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</si>
  <si>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</si>
  <si>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</si>
  <si>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</si>
  <si>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</si>
  <si>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</si>
  <si>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</si>
  <si>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</si>
  <si>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</si>
  <si>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</si>
  <si>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</si>
  <si>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</si>
  <si>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</si>
  <si>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</si>
  <si>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</si>
  <si>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</si>
  <si>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</si>
  <si>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</si>
  <si>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</si>
  <si>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</si>
  <si>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</si>
  <si>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</si>
  <si>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</si>
  <si>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</si>
  <si>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</si>
  <si>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</si>
  <si>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</si>
  <si>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</si>
  <si>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</si>
  <si>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</si>
  <si>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</si>
  <si>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</si>
  <si>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</si>
  <si>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</si>
  <si>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</si>
  <si>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</si>
  <si>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</si>
  <si>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</si>
  <si>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</si>
  <si>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</si>
  <si>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</si>
  <si>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</si>
  <si>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</si>
  <si>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Thu nhập lãi thuần</t>
  </si>
  <si>
    <t>Thu nhập từ lãi và các khoản thu nhập tương tự</t>
  </si>
  <si>
    <t>Chi phí lãi và các chi phí tương tự</t>
  </si>
  <si>
    <t>Lãi/Lỗ thuần từ hoạt động dịch vụ</t>
  </si>
  <si>
    <t>Thu nhập từ hoạt động dịch vụ</t>
  </si>
  <si>
    <t>Chi phí hoạt động dịch vụ</t>
  </si>
  <si>
    <t>Lãi/Lỗ thuần từ hoạt động kinh doanh ngoại hối</t>
  </si>
  <si>
    <t>Lãi/Lỗ thuần từ mua bán chứng khoán kinh doanh</t>
  </si>
  <si>
    <t>Lãi/Lỗ thuần từ mua bán chứng khoán đầu tư</t>
  </si>
  <si>
    <t>Lãi/Lỗ thuần từ hoạt động khác</t>
  </si>
  <si>
    <t>Thu nhập từ hoạt động khác</t>
  </si>
  <si>
    <t>Chi phí hoạt động khác</t>
  </si>
  <si>
    <t>Thu nhập từ hoạt động góp vốn mua cổ phần</t>
  </si>
  <si>
    <t>Chi phí hoạt động</t>
  </si>
  <si>
    <t>Lợi nhuận từ HDKD trước chi phí dự phòng rủi ro tín dụng</t>
  </si>
  <si>
    <t>Chi phí dự phòng rủi ro tín dụng</t>
  </si>
  <si>
    <t>Tổng lợi nhuận trước thuế</t>
  </si>
  <si>
    <t>Chi phí thuế TNDN</t>
  </si>
  <si>
    <t>Chi phí thuế thu nhập hiện hành</t>
  </si>
  <si>
    <t>Chi phí thuế TNDN giữ lại</t>
  </si>
  <si>
    <t>Lợi nhuận sau thuế thu nhập doanh nghiệp</t>
  </si>
  <si>
    <t>Lợi ích của cổ đông thiểu số và cổ tức ưu đãi</t>
  </si>
  <si>
    <t>LNST sau khi điều chỉnh Lợi ích của CĐTS và Cổ tức ưu đãi</t>
  </si>
  <si>
    <t>I. Lưu chuyển tiền từ hoạt động kinh doanh</t>
  </si>
  <si>
    <t>- Thu nhập lãi và các khoản thu nhập tương tự nhận được</t>
  </si>
  <si>
    <t>- Chi phí lãi và các chi phí tương tự đã trả</t>
  </si>
  <si>
    <t>- Thu nhập từ hoạt động dịch vụ nhận được</t>
  </si>
  <si>
    <t>- Chênh lệch số tiền thực thu/ thực chi từ hoạt động kinh doanh (ngoại tệ, vàng bạc, chứng khoán)</t>
  </si>
  <si>
    <t>- Thu nhập khác</t>
  </si>
  <si>
    <t>- Tiền thu các khoản nợ đã được xử lý xóa, bù đắp bằng nguồn rủi ro</t>
  </si>
  <si>
    <t>- Tiền chi trả cho nhân viên và hoạt động quản lý, công vụ</t>
  </si>
  <si>
    <t>- Tiền thuế thu nhập thực nộp trong kỳ</t>
  </si>
  <si>
    <t>Lưu chuyển tiền thuần từ hoạt động kinh doanh trước những thay đổi về tài sản và vốn lưu động</t>
  </si>
  <si>
    <t>1. Những thay đổi về tài sản hoạt động</t>
  </si>
  <si>
    <t>- (Tăng)/Giảm các khoản tiền, vàng gửi và cho vay các TCTD khác</t>
  </si>
  <si>
    <t>- (Tăng)/Giảm các khoản về kinh doanh chứng khoán</t>
  </si>
  <si>
    <t>- (Tăng)/Giảm các công cụ tài chính phái sinh và các tài sản tài chính khác</t>
  </si>
  <si>
    <t>- (Tăng)/Giảm các khoản cho vay khách hàng</t>
  </si>
  <si>
    <t>- (Tăng)/Giảm nguồn dự phòng để bù bắp tổn thất các khoản</t>
  </si>
  <si>
    <t>- (Tăng)/Giảm khác về tài sản hoạt động</t>
  </si>
  <si>
    <t>2. Những thay đổi về công nợ hoạt động</t>
  </si>
  <si>
    <t>- Tăng/(Giảm) các khoản nợ chính phủ và NHNN</t>
  </si>
  <si>
    <t>- Tăng/(Giảm) các khoản tiền gửi, tiền vay các TCTD</t>
  </si>
  <si>
    <t>- Tăng/(Giảm) tiền gửi của khách hàng</t>
  </si>
  <si>
    <t>- Tăng/(Giảm) phát hành giấy tờ có giá</t>
  </si>
  <si>
    <t>- Tăng/(Giảm) vốn tài trợ, ủy thác đầu tư, cho vay mà TCTD chịu rủi ro</t>
  </si>
  <si>
    <t>- Tăng/(Giảm) các công cụ tài chính phái sinh và các khoản nợ tài chính khác</t>
  </si>
  <si>
    <t>- Tăng/(Giảm) khác về công nợ hoạt động</t>
  </si>
  <si>
    <t>- Chi từ các quỹ của TCTD</t>
  </si>
  <si>
    <t>II. Lưu chuyển tiền từ hoạt động đầu tư</t>
  </si>
  <si>
    <t>- Tiền giảm do bán công ty con</t>
  </si>
  <si>
    <t>- Mua sắm TSCĐ</t>
  </si>
  <si>
    <t>- Tiền thu từ thanh lý, nhượng bán TSCĐ</t>
  </si>
  <si>
    <t>- Tiền chi từ thanh lý, nhượng bán TSCĐ</t>
  </si>
  <si>
    <t>- Mua sắm bất động sản đầu tư</t>
  </si>
  <si>
    <t>- Tiền thu từ bán, thanh lý bất động sản đầu tư</t>
  </si>
  <si>
    <t>- Tiền chi ra do bán, thanh lý bất động sản đầu tư</t>
  </si>
  <si>
    <t>- Tiền chi đầu tư, góp vốn vào các đơn vị khác</t>
  </si>
  <si>
    <t>- Tiền thu đầu tư, góp vốn vào các đơn vị khác</t>
  </si>
  <si>
    <t>- Tiền thu cổ tức và lợi nhuận được chia từ các khoản đầu tư, góp vốn dài hạn</t>
  </si>
  <si>
    <t>III. Lưu chuyển tiền từ hoạt động tài chính</t>
  </si>
  <si>
    <t>- Tăng vốn cổ phần từ góp vốn và phát hành cổ phiếu</t>
  </si>
  <si>
    <t>- Tiền thu từ phát hành giấy tờ có giá dài hạn có đủ điều kiện tính vào vốn tự có và các khoản vốn vay dài hạn khác</t>
  </si>
  <si>
    <t>- Tiền chi thanh toán giấy tờ có giá dài hạn có đủ điều kiện tính vào vốn tự có và các khoản vốn vay dài hạn khác</t>
  </si>
  <si>
    <t>- Cổ tức trả cho cổ đông, lợi nhuận đã chia</t>
  </si>
  <si>
    <t>- Tiền chi ra mua cổ phiếu ngân quỹ</t>
  </si>
  <si>
    <t>- Tiền thu được do bán cổ phiếu ngân quỹ</t>
  </si>
  <si>
    <t>Lưu chuyển tiền thuần trong kỳ</t>
  </si>
  <si>
    <t>Tiền và tương đương tiền đầu kỳ</t>
  </si>
  <si>
    <t>Ảnh hưởng của thay đổi tỷ giá hối đoái quy đổi ngoại tệ</t>
  </si>
  <si>
    <t>Tiền và tương đương tiền cuối kỳ</t>
  </si>
  <si>
    <t>Unreconciled Adjustments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</si>
</sst>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rial"/>
      <family val="2"/>
      <charset val="163"/>
      <scheme val="minor"/>
    </font>
    <font>
      <sz val="11"/>
      <name val="Times New Roman"/>
      <family val="1"/>
    </font>
    <font>
      <sz val="1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Fill="1" applyAlignment="1">
      <alignment horizontal="right" vertical="center" wrapText="1"/>
    </xf>
    <xf numFmtId="0" fontId="2" fillId="0" borderId="0" xfId="0" applyFont="1" applyFill="1"/>
    <xf numFmtId="0" fontId="1" fillId="0" borderId="0" xfId="0" applyFont="1" applyFill="1" applyAlignment="1">
      <alignment wrapText="1"/>
    </xf>
    <xf numFmtId="0" fontId="1" fillId="0" borderId="0" xfId="0" applyFont="1" applyFill="1" applyAlignment="1">
      <alignment horizontal="right" wrapText="1"/>
    </xf>
    <xf numFmtId="0" fontId="1" fillId="0" borderId="0" xfId="0" applyFont="1" applyFill="1" applyAlignment="1">
      <alignment horizontal="left" wrapText="1" indent="7"/>
    </xf>
    <xf numFmtId="3" fontId="1" fillId="0" borderId="0" xfId="0" applyNumberFormat="1" applyFont="1" applyFill="1" applyAlignment="1">
      <alignment horizontal="right" wrapText="1"/>
    </xf>
    <xf numFmtId="0" fontId="1" fillId="0" borderId="0" xfId="0" applyFont="1" applyFill="1" applyAlignment="1">
      <alignment horizontal="left" wrapText="1" indent="4"/>
    </xf>
    <xf numFmtId="0" fontId="2" fillId="0" borderId="0" xfId="0" applyFont="1" applyFill="1" applyAlignment="1">
      <alignment horizontal="left" wrapText="1" indent="9"/>
    </xf>
    <xf numFmtId="3" fontId="2" fillId="0" borderId="0" xfId="0" applyNumberFormat="1" applyFont="1" applyFill="1" applyAlignment="1">
      <alignment horizontal="right" wrapText="1"/>
    </xf>
    <xf numFmtId="0" fontId="2" fillId="0" borderId="0" xfId="0" applyFont="1" applyFill="1" applyAlignment="1">
      <alignment horizontal="right" wrapText="1"/>
    </xf>
    <xf numFmtId="0" fontId="2" fillId="0" borderId="0" xfId="0" applyFont="1" applyFill="1" applyAlignment="1">
      <alignment horizontal="left" wrapText="1" indent="6"/>
    </xf>
    <xf numFmtId="0" fontId="2" fillId="0" borderId="0" xfId="0" applyFont="1" applyFill="1" applyAlignment="1">
      <alignment horizontal="left" wrapText="1" indent="11"/>
    </xf>
    <xf numFmtId="0" fontId="1" fillId="0" borderId="0" xfId="0" applyFont="1" applyFill="1" applyAlignment="1">
      <alignment horizontal="left" wrapText="1" indent="3"/>
    </xf>
    <xf numFmtId="0" fontId="1" fillId="0" borderId="0" xfId="0" applyNumberFormat="1" applyFont="1" applyFill="1" applyAlignment="1">
      <alignment horizontal="right" wrapText="1"/>
    </xf>
    <xf numFmtId="0" fontId="2" fillId="0" borderId="0" xfId="0" applyNumberFormat="1" applyFont="1" applyFill="1" applyAlignment="1">
      <alignment horizontal="right"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54" sqref="G54"/>
    </sheetView>
  </sheetViews>
  <sheetFormatPr defaultColWidth="4.25" defaultRowHeight="15" x14ac:dyDescent="0.25"/>
  <cols>
    <col min="1" max="1" width="66.125" style="2" bestFit="1" customWidth="1"/>
    <col min="2" max="42" width="16.125" style="2" bestFit="1" customWidth="1"/>
    <col min="43" max="43" width="17.625" style="2" bestFit="1" customWidth="1"/>
    <col min="44" max="16384" width="4.25" style="2"/>
  </cols>
  <sheetData>
    <row r="1" spans="1:43" x14ac:dyDescent="0.25"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  <c r="G1" s="1" t="s">
        <v>73</v>
      </c>
      <c r="H1" s="1" t="s">
        <v>74</v>
      </c>
      <c r="I1" s="1" t="s">
        <v>75</v>
      </c>
      <c r="J1" s="1" t="s">
        <v>76</v>
      </c>
      <c r="K1" s="1" t="s">
        <v>77</v>
      </c>
      <c r="L1" s="1" t="s">
        <v>78</v>
      </c>
      <c r="M1" s="1" t="s">
        <v>79</v>
      </c>
      <c r="N1" s="1" t="s">
        <v>80</v>
      </c>
      <c r="O1" s="1" t="s">
        <v>81</v>
      </c>
      <c r="P1" s="1" t="s">
        <v>82</v>
      </c>
      <c r="Q1" s="1" t="s">
        <v>83</v>
      </c>
      <c r="R1" s="1" t="s">
        <v>84</v>
      </c>
      <c r="S1" s="1" t="s">
        <v>85</v>
      </c>
      <c r="T1" s="1" t="s">
        <v>86</v>
      </c>
      <c r="U1" s="1" t="s">
        <v>87</v>
      </c>
      <c r="V1" s="1" t="s">
        <v>88</v>
      </c>
      <c r="W1" s="1" t="s">
        <v>89</v>
      </c>
      <c r="X1" s="1" t="s">
        <v>90</v>
      </c>
      <c r="Y1" s="1" t="s">
        <v>91</v>
      </c>
      <c r="Z1" s="1" t="s">
        <v>92</v>
      </c>
      <c r="AA1" s="1" t="s">
        <v>93</v>
      </c>
      <c r="AB1" s="1" t="s">
        <v>94</v>
      </c>
      <c r="AC1" s="1" t="s">
        <v>95</v>
      </c>
      <c r="AD1" s="1" t="s">
        <v>96</v>
      </c>
      <c r="AE1" s="1" t="s">
        <v>97</v>
      </c>
      <c r="AF1" s="1" t="s">
        <v>98</v>
      </c>
      <c r="AG1" s="1" t="s">
        <v>99</v>
      </c>
      <c r="AH1" s="1" t="s">
        <v>100</v>
      </c>
      <c r="AI1" s="1" t="s">
        <v>101</v>
      </c>
      <c r="AJ1" s="1" t="s">
        <v>102</v>
      </c>
      <c r="AK1" s="1" t="s">
        <v>103</v>
      </c>
      <c r="AL1" s="1" t="s">
        <v>104</v>
      </c>
      <c r="AM1" s="1" t="s">
        <v>105</v>
      </c>
      <c r="AN1" s="1" t="s">
        <v>106</v>
      </c>
      <c r="AO1" s="1" t="s">
        <v>107</v>
      </c>
      <c r="AP1" s="1" t="s">
        <v>108</v>
      </c>
      <c r="AQ1" s="1" t="s">
        <v>109</v>
      </c>
    </row>
    <row r="2" spans="1:43" x14ac:dyDescent="0.25">
      <c r="A2" s="3" t="s">
        <v>0</v>
      </c>
      <c r="B2" s="6">
        <v>118950018000000</v>
      </c>
      <c r="C2" s="6">
        <v>128983966000000</v>
      </c>
      <c r="D2" s="6">
        <v>138872460000000</v>
      </c>
      <c r="E2" s="6">
        <v>150294272000000</v>
      </c>
      <c r="F2" s="6">
        <v>163349249000000</v>
      </c>
      <c r="G2" s="6">
        <v>169528338000000</v>
      </c>
      <c r="H2" s="6">
        <v>174594270000000</v>
      </c>
      <c r="I2" s="6">
        <v>189334259000000</v>
      </c>
      <c r="J2" s="6">
        <v>190374307000000</v>
      </c>
      <c r="K2" s="6">
        <v>191293246000000</v>
      </c>
      <c r="L2" s="6">
        <v>199380170000000</v>
      </c>
      <c r="M2" s="6">
        <v>216107406000000</v>
      </c>
      <c r="N2" s="6">
        <v>202562505000000</v>
      </c>
      <c r="O2" s="6">
        <v>210291471000000</v>
      </c>
      <c r="P2" s="6">
        <v>217245156000000</v>
      </c>
      <c r="Q2" s="6">
        <v>229477262000000</v>
      </c>
      <c r="R2" s="6">
        <v>231773724000000</v>
      </c>
      <c r="S2" s="6">
        <v>242445051000000</v>
      </c>
      <c r="T2" s="6">
        <v>273289529000000</v>
      </c>
      <c r="U2" s="6">
        <v>319127257000000</v>
      </c>
      <c r="V2" s="6">
        <v>325821442000000</v>
      </c>
      <c r="W2" s="6">
        <v>330969917000000</v>
      </c>
      <c r="X2" s="6">
        <v>346355019000000</v>
      </c>
      <c r="Y2" s="6">
        <v>374611571000000</v>
      </c>
      <c r="Z2" s="6">
        <v>381046023000000</v>
      </c>
      <c r="AA2" s="6">
        <v>384266740000000</v>
      </c>
      <c r="AB2" s="6">
        <v>399152573000000</v>
      </c>
      <c r="AC2" s="6">
        <v>416273023000000</v>
      </c>
      <c r="AD2" s="6">
        <v>458802678000000</v>
      </c>
      <c r="AE2" s="6">
        <v>483935823000000</v>
      </c>
      <c r="AF2" s="6">
        <v>508263253000000</v>
      </c>
      <c r="AG2" s="6">
        <v>602314859000000</v>
      </c>
      <c r="AH2" s="6">
        <v>602551570000000</v>
      </c>
      <c r="AI2" s="6">
        <v>624443499000000</v>
      </c>
      <c r="AJ2" s="6">
        <v>629569112000000</v>
      </c>
      <c r="AK2" s="6">
        <v>697280806000000</v>
      </c>
      <c r="AL2" s="6">
        <v>711310758000000</v>
      </c>
      <c r="AM2" s="6">
        <v>784096287000000</v>
      </c>
      <c r="AN2" s="6">
        <v>781937368000000</v>
      </c>
      <c r="AO2" s="6">
        <v>931101281000000</v>
      </c>
      <c r="AP2" s="6">
        <v>984216210000000</v>
      </c>
      <c r="AQ2" s="6">
        <v>1043891774000000</v>
      </c>
    </row>
    <row r="3" spans="1:43" x14ac:dyDescent="0.25">
      <c r="A3" s="5" t="s">
        <v>1</v>
      </c>
      <c r="B3" s="6">
        <v>1392843000000</v>
      </c>
      <c r="C3" s="6">
        <v>1569671000000</v>
      </c>
      <c r="D3" s="6">
        <v>1376202000000</v>
      </c>
      <c r="E3" s="6">
        <v>1636010000000</v>
      </c>
      <c r="F3" s="6">
        <v>1409281000000</v>
      </c>
      <c r="G3" s="6">
        <v>1361279000000</v>
      </c>
      <c r="H3" s="6">
        <v>1272228000000</v>
      </c>
      <c r="I3" s="6">
        <v>1511629000000</v>
      </c>
      <c r="J3" s="6">
        <v>1649501000000</v>
      </c>
      <c r="K3" s="6">
        <v>2151586000000</v>
      </c>
      <c r="L3" s="6">
        <v>1828908000000</v>
      </c>
      <c r="M3" s="6">
        <v>2096395000000</v>
      </c>
      <c r="N3" s="6">
        <v>1997844000000</v>
      </c>
      <c r="O3" s="6">
        <v>1949797000000</v>
      </c>
      <c r="P3" s="6">
        <v>2039463000000</v>
      </c>
      <c r="Q3" s="6">
        <v>2004563000000</v>
      </c>
      <c r="R3" s="6">
        <v>1892955000000</v>
      </c>
      <c r="S3" s="6">
        <v>2298266000000</v>
      </c>
      <c r="T3" s="6">
        <v>2123658000000</v>
      </c>
      <c r="U3" s="6">
        <v>2257255000000</v>
      </c>
      <c r="V3" s="6">
        <v>2351092000000</v>
      </c>
      <c r="W3" s="6">
        <v>2194774000000</v>
      </c>
      <c r="X3" s="6">
        <v>1940895000000</v>
      </c>
      <c r="Y3" s="6">
        <v>2445611000000</v>
      </c>
      <c r="Z3" s="6">
        <v>2627817000000</v>
      </c>
      <c r="AA3" s="6">
        <v>2709876000000</v>
      </c>
      <c r="AB3" s="6">
        <v>2596855000000</v>
      </c>
      <c r="AC3" s="6">
        <v>2937994000000</v>
      </c>
      <c r="AD3" s="6">
        <v>2691430000000</v>
      </c>
      <c r="AE3" s="6">
        <v>2902517000000</v>
      </c>
      <c r="AF3" s="6">
        <v>2765559000000</v>
      </c>
      <c r="AG3" s="6">
        <v>2810044000000</v>
      </c>
      <c r="AH3" s="6">
        <v>2891213000000</v>
      </c>
      <c r="AI3" s="6">
        <v>3102598000000</v>
      </c>
      <c r="AJ3" s="6">
        <v>3127639000000</v>
      </c>
      <c r="AK3" s="6">
        <v>3105355000000</v>
      </c>
      <c r="AL3" s="6">
        <v>3597997000000</v>
      </c>
      <c r="AM3" s="6">
        <v>3944656000000</v>
      </c>
      <c r="AN3" s="6">
        <v>3679667000000</v>
      </c>
      <c r="AO3" s="6">
        <v>4126643000000</v>
      </c>
      <c r="AP3" s="6">
        <v>4870562000000</v>
      </c>
      <c r="AQ3" s="6">
        <v>3399488000000</v>
      </c>
    </row>
    <row r="4" spans="1:43" x14ac:dyDescent="0.25">
      <c r="A4" s="5" t="s">
        <v>2</v>
      </c>
      <c r="B4" s="6">
        <v>946400000000</v>
      </c>
      <c r="C4" s="6">
        <v>1532113000000</v>
      </c>
      <c r="D4" s="6">
        <v>2244384000000</v>
      </c>
      <c r="E4" s="6">
        <v>2389302000000</v>
      </c>
      <c r="F4" s="6">
        <v>1328926000000</v>
      </c>
      <c r="G4" s="6">
        <v>5583069000000</v>
      </c>
      <c r="H4" s="6">
        <v>2330443000000</v>
      </c>
      <c r="I4" s="6">
        <v>1922256000000</v>
      </c>
      <c r="J4" s="6">
        <v>2269185000000</v>
      </c>
      <c r="K4" s="6">
        <v>3309444000000</v>
      </c>
      <c r="L4" s="6">
        <v>2418896000000</v>
      </c>
      <c r="M4" s="6">
        <v>5385604000000</v>
      </c>
      <c r="N4" s="6">
        <v>3416086000000</v>
      </c>
      <c r="O4" s="6">
        <v>1724662000000</v>
      </c>
      <c r="P4" s="6">
        <v>6403131000000</v>
      </c>
      <c r="Q4" s="6">
        <v>4503540000000</v>
      </c>
      <c r="R4" s="6">
        <v>1891534000000</v>
      </c>
      <c r="S4" s="6">
        <v>3185578000000</v>
      </c>
      <c r="T4" s="6">
        <v>4661966000000</v>
      </c>
      <c r="U4" s="6">
        <v>7788112000000</v>
      </c>
      <c r="V4" s="6">
        <v>6209185000000</v>
      </c>
      <c r="W4" s="6">
        <v>9633778000000</v>
      </c>
      <c r="X4" s="6">
        <v>8949735000000</v>
      </c>
      <c r="Y4" s="6">
        <v>11847980000000</v>
      </c>
      <c r="Z4" s="6">
        <v>9808491000000</v>
      </c>
      <c r="AA4" s="6">
        <v>11127254000000</v>
      </c>
      <c r="AB4" s="6">
        <v>9869836000000</v>
      </c>
      <c r="AC4" s="6">
        <v>11273345000000</v>
      </c>
      <c r="AD4" s="6">
        <v>12162272000000</v>
      </c>
      <c r="AE4" s="6">
        <v>14769196000000</v>
      </c>
      <c r="AF4" s="6">
        <v>31970237000000</v>
      </c>
      <c r="AG4" s="6">
        <v>41481638000000</v>
      </c>
      <c r="AH4" s="6">
        <v>22525499000000</v>
      </c>
      <c r="AI4" s="6">
        <v>22236514000000</v>
      </c>
      <c r="AJ4" s="6">
        <v>29410506000000</v>
      </c>
      <c r="AK4" s="6">
        <v>26680270000000</v>
      </c>
      <c r="AL4" s="6">
        <v>18197837000000</v>
      </c>
      <c r="AM4" s="6">
        <v>9728909000000</v>
      </c>
      <c r="AN4" s="6">
        <v>24751052000000</v>
      </c>
      <c r="AO4" s="6">
        <v>59907114000000</v>
      </c>
      <c r="AP4" s="6">
        <v>27816249000000</v>
      </c>
      <c r="AQ4" s="6">
        <v>48994133000000</v>
      </c>
    </row>
    <row r="5" spans="1:43" x14ac:dyDescent="0.25">
      <c r="A5" s="5" t="s">
        <v>3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</row>
    <row r="6" spans="1:43" x14ac:dyDescent="0.25">
      <c r="A6" s="7" t="s">
        <v>4</v>
      </c>
      <c r="B6" s="6">
        <v>15502467000000</v>
      </c>
      <c r="C6" s="6">
        <v>14718584000000</v>
      </c>
      <c r="D6" s="6">
        <v>16047689000000</v>
      </c>
      <c r="E6" s="6">
        <v>18580047000000</v>
      </c>
      <c r="F6" s="6">
        <v>24105563000000</v>
      </c>
      <c r="G6" s="6">
        <v>22723038000000</v>
      </c>
      <c r="H6" s="6">
        <v>20772785000000</v>
      </c>
      <c r="I6" s="6">
        <v>21861168000000</v>
      </c>
      <c r="J6" s="6">
        <v>19681403000000</v>
      </c>
      <c r="K6" s="6">
        <v>23538842000000</v>
      </c>
      <c r="L6" s="6">
        <v>23317555000000</v>
      </c>
      <c r="M6" s="6">
        <v>32425544000000</v>
      </c>
      <c r="N6" s="6">
        <v>19600096000000</v>
      </c>
      <c r="O6" s="6">
        <v>21501935000000</v>
      </c>
      <c r="P6" s="6">
        <v>21531562000000</v>
      </c>
      <c r="Q6" s="6">
        <v>24664877000000</v>
      </c>
      <c r="R6" s="6">
        <v>18920348000000</v>
      </c>
      <c r="S6" s="6">
        <v>23330471000000</v>
      </c>
      <c r="T6" s="6">
        <v>32765417000000</v>
      </c>
      <c r="U6" s="6">
        <v>44810934000000</v>
      </c>
      <c r="V6" s="6">
        <v>50447584000000</v>
      </c>
      <c r="W6" s="6">
        <v>44824126000000</v>
      </c>
      <c r="X6" s="6">
        <v>52371403000000</v>
      </c>
      <c r="Y6" s="6">
        <v>55942644000000</v>
      </c>
      <c r="Z6" s="6">
        <v>49371645000000</v>
      </c>
      <c r="AA6" s="6">
        <v>41470126000000</v>
      </c>
      <c r="AB6" s="6">
        <v>50666808000000</v>
      </c>
      <c r="AC6" s="6">
        <v>49132317000000</v>
      </c>
      <c r="AD6" s="6">
        <v>56768627000000</v>
      </c>
      <c r="AE6" s="6">
        <v>87190858000000</v>
      </c>
      <c r="AF6" s="6">
        <v>55427300000000</v>
      </c>
      <c r="AG6" s="6">
        <v>96514863000000</v>
      </c>
      <c r="AH6" s="6">
        <v>87659830000000</v>
      </c>
      <c r="AI6" s="6">
        <v>83923363000000</v>
      </c>
      <c r="AJ6" s="6">
        <v>98656083000000</v>
      </c>
      <c r="AK6" s="6">
        <v>101600254000000</v>
      </c>
      <c r="AL6" s="6">
        <v>126666260000000</v>
      </c>
      <c r="AM6" s="6">
        <v>132104675000000</v>
      </c>
      <c r="AN6" s="6">
        <v>153845277000000</v>
      </c>
      <c r="AO6" s="6">
        <v>184262209000000</v>
      </c>
      <c r="AP6" s="6">
        <v>203790573000000</v>
      </c>
      <c r="AQ6" s="6">
        <v>150585067000000</v>
      </c>
    </row>
    <row r="7" spans="1:43" x14ac:dyDescent="0.25">
      <c r="A7" s="8" t="s">
        <v>5</v>
      </c>
      <c r="B7" s="9">
        <v>12119187000000</v>
      </c>
      <c r="C7" s="9">
        <v>9261093000000</v>
      </c>
      <c r="D7" s="9">
        <v>12095149000000</v>
      </c>
      <c r="E7" s="9">
        <v>15971314000000</v>
      </c>
      <c r="F7" s="9">
        <v>22585700000000</v>
      </c>
      <c r="G7" s="9">
        <v>20324082000000</v>
      </c>
      <c r="H7" s="9">
        <v>19180857000000</v>
      </c>
      <c r="I7" s="9">
        <v>19650607000000</v>
      </c>
      <c r="J7" s="9">
        <v>18813647000000</v>
      </c>
      <c r="K7" s="9">
        <v>21583374000000</v>
      </c>
      <c r="L7" s="9">
        <v>20126654000000</v>
      </c>
      <c r="M7" s="9">
        <v>30695162000000</v>
      </c>
      <c r="N7" s="9">
        <v>18050096000000</v>
      </c>
      <c r="O7" s="9">
        <v>20001935000000</v>
      </c>
      <c r="P7" s="9">
        <v>20131562000000</v>
      </c>
      <c r="Q7" s="9">
        <v>23854877000000</v>
      </c>
      <c r="R7" s="9">
        <v>18720348000000</v>
      </c>
      <c r="S7" s="9">
        <v>23330471000000</v>
      </c>
      <c r="T7" s="9">
        <v>32765417000000</v>
      </c>
      <c r="U7" s="9">
        <v>44710934000000</v>
      </c>
      <c r="V7" s="9">
        <v>49851459000000</v>
      </c>
      <c r="W7" s="9">
        <v>44008716000000</v>
      </c>
      <c r="X7" s="9">
        <v>52171403000000</v>
      </c>
      <c r="Y7" s="9">
        <v>55837298000000</v>
      </c>
      <c r="Z7" s="9">
        <v>49071645000000</v>
      </c>
      <c r="AA7" s="9">
        <v>40018840000000</v>
      </c>
      <c r="AB7" s="9">
        <v>47779476000000</v>
      </c>
      <c r="AC7" s="9">
        <v>40322487000000</v>
      </c>
      <c r="AD7" s="9">
        <v>48238627000000</v>
      </c>
      <c r="AE7" s="9">
        <v>80287093000000</v>
      </c>
      <c r="AF7" s="9">
        <v>45369630000000</v>
      </c>
      <c r="AG7" s="9">
        <v>88120085000000</v>
      </c>
      <c r="AH7" s="9">
        <v>79329732000000</v>
      </c>
      <c r="AI7" s="9">
        <v>76457206000000</v>
      </c>
      <c r="AJ7" s="9">
        <v>93378870000000</v>
      </c>
      <c r="AK7" s="9">
        <v>94225901000000</v>
      </c>
      <c r="AL7" s="9">
        <v>117832526000000</v>
      </c>
      <c r="AM7" s="9">
        <v>124358309000000</v>
      </c>
      <c r="AN7" s="9">
        <v>140226645000000</v>
      </c>
      <c r="AO7" s="9">
        <v>156340825000000</v>
      </c>
      <c r="AP7" s="9">
        <v>188794908000000</v>
      </c>
      <c r="AQ7" s="9">
        <v>139145152000000</v>
      </c>
    </row>
    <row r="8" spans="1:43" x14ac:dyDescent="0.25">
      <c r="A8" s="8" t="s">
        <v>6</v>
      </c>
      <c r="B8" s="9">
        <v>3389280000000</v>
      </c>
      <c r="C8" s="9">
        <v>5457491000000</v>
      </c>
      <c r="D8" s="9">
        <v>3952540000000</v>
      </c>
      <c r="E8" s="9">
        <v>2608733000000</v>
      </c>
      <c r="F8" s="9">
        <v>1519863000000</v>
      </c>
      <c r="G8" s="9">
        <v>2398956000000</v>
      </c>
      <c r="H8" s="9">
        <v>1591928000000</v>
      </c>
      <c r="I8" s="9">
        <v>2210561000000</v>
      </c>
      <c r="J8" s="9">
        <v>867756000000</v>
      </c>
      <c r="K8" s="9">
        <v>1955468000000</v>
      </c>
      <c r="L8" s="9">
        <v>3190901000000</v>
      </c>
      <c r="M8" s="9">
        <v>1730382000000</v>
      </c>
      <c r="N8" s="9">
        <v>1550000000000</v>
      </c>
      <c r="O8" s="9">
        <v>1500000000000</v>
      </c>
      <c r="P8" s="9">
        <v>1400000000000</v>
      </c>
      <c r="Q8" s="9">
        <v>810000000000</v>
      </c>
      <c r="R8" s="9">
        <v>200000000000</v>
      </c>
      <c r="S8" s="10">
        <v>0</v>
      </c>
      <c r="T8" s="10">
        <v>0</v>
      </c>
      <c r="U8" s="9">
        <v>100000000000</v>
      </c>
      <c r="V8" s="9">
        <v>596125000000</v>
      </c>
      <c r="W8" s="9">
        <v>815410000000</v>
      </c>
      <c r="X8" s="9">
        <v>200000000000</v>
      </c>
      <c r="Y8" s="9">
        <v>105346000000</v>
      </c>
      <c r="Z8" s="9">
        <v>300000000000</v>
      </c>
      <c r="AA8" s="9">
        <v>1451286000000</v>
      </c>
      <c r="AB8" s="9">
        <v>2887332000000</v>
      </c>
      <c r="AC8" s="9">
        <v>8809830000000</v>
      </c>
      <c r="AD8" s="9">
        <v>8530000000000</v>
      </c>
      <c r="AE8" s="9">
        <v>6903765000000</v>
      </c>
      <c r="AF8" s="9">
        <v>10057670000000</v>
      </c>
      <c r="AG8" s="9">
        <v>8394778000000</v>
      </c>
      <c r="AH8" s="9">
        <v>8330098000000</v>
      </c>
      <c r="AI8" s="9">
        <v>7466157000000</v>
      </c>
      <c r="AJ8" s="9">
        <v>5277213000000</v>
      </c>
      <c r="AK8" s="9">
        <v>7374353000000</v>
      </c>
      <c r="AL8" s="9">
        <v>8833734000000</v>
      </c>
      <c r="AM8" s="9">
        <v>7746366000000</v>
      </c>
      <c r="AN8" s="9">
        <v>13618632000000</v>
      </c>
      <c r="AO8" s="9">
        <v>27921384000000</v>
      </c>
      <c r="AP8" s="9">
        <v>14995665000000</v>
      </c>
      <c r="AQ8" s="9">
        <v>11439915000000</v>
      </c>
    </row>
    <row r="9" spans="1:43" x14ac:dyDescent="0.25">
      <c r="A9" s="8" t="s">
        <v>7</v>
      </c>
      <c r="B9" s="9">
        <v>-6000000000</v>
      </c>
      <c r="C9" s="10">
        <v>0</v>
      </c>
      <c r="D9" s="10">
        <v>0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0</v>
      </c>
      <c r="P9" s="10">
        <v>0</v>
      </c>
      <c r="Q9" s="10">
        <v>0</v>
      </c>
      <c r="R9" s="10">
        <v>0</v>
      </c>
      <c r="S9" s="10">
        <v>0</v>
      </c>
      <c r="T9" s="10">
        <v>0</v>
      </c>
      <c r="U9" s="10">
        <v>0</v>
      </c>
      <c r="V9" s="10">
        <v>0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>
        <v>0</v>
      </c>
      <c r="AL9" s="10">
        <v>0</v>
      </c>
      <c r="AM9" s="10">
        <v>0</v>
      </c>
      <c r="AN9" s="10">
        <v>0</v>
      </c>
      <c r="AO9" s="10">
        <v>0</v>
      </c>
      <c r="AP9" s="10">
        <v>0</v>
      </c>
      <c r="AQ9" s="10">
        <v>0</v>
      </c>
    </row>
    <row r="10" spans="1:43" x14ac:dyDescent="0.25">
      <c r="A10" s="7" t="s">
        <v>8</v>
      </c>
      <c r="B10" s="6">
        <v>985837000000</v>
      </c>
      <c r="C10" s="6">
        <v>916034000000</v>
      </c>
      <c r="D10" s="6">
        <v>452652000000</v>
      </c>
      <c r="E10" s="6">
        <v>396937000000</v>
      </c>
      <c r="F10" s="6">
        <v>705369000000</v>
      </c>
      <c r="G10" s="6">
        <v>397000000000</v>
      </c>
      <c r="H10" s="6">
        <v>642333000000</v>
      </c>
      <c r="I10" s="6">
        <v>4690398000000</v>
      </c>
      <c r="J10" s="6">
        <v>2850111000000</v>
      </c>
      <c r="K10" s="6">
        <v>1889877000000</v>
      </c>
      <c r="L10" s="6">
        <v>2337487000000</v>
      </c>
      <c r="M10" s="6">
        <v>2596626000000</v>
      </c>
      <c r="N10" s="6">
        <v>1933944000000</v>
      </c>
      <c r="O10" s="6">
        <v>2091898000000</v>
      </c>
      <c r="P10" s="6">
        <v>1847534000000</v>
      </c>
      <c r="Q10" s="6">
        <v>4643488000000</v>
      </c>
      <c r="R10" s="6">
        <v>4812614000000</v>
      </c>
      <c r="S10" s="6">
        <v>3049574000000</v>
      </c>
      <c r="T10" s="6">
        <v>9221967000000</v>
      </c>
      <c r="U10" s="6">
        <v>12478102000000</v>
      </c>
      <c r="V10" s="6">
        <v>10977154000000</v>
      </c>
      <c r="W10" s="6">
        <v>10440600000000</v>
      </c>
      <c r="X10" s="6">
        <v>12880397000000</v>
      </c>
      <c r="Y10" s="6">
        <v>11198067000000</v>
      </c>
      <c r="Z10" s="6">
        <v>10046933000000</v>
      </c>
      <c r="AA10" s="6">
        <v>3407027000000</v>
      </c>
      <c r="AB10" s="6">
        <v>2383237000000</v>
      </c>
      <c r="AC10" s="6">
        <v>1797822000000</v>
      </c>
      <c r="AD10" s="6">
        <v>3867579000000</v>
      </c>
      <c r="AE10" s="6">
        <v>7305631000000</v>
      </c>
      <c r="AF10" s="6">
        <v>21599611000000</v>
      </c>
      <c r="AG10" s="6">
        <v>18580932000000</v>
      </c>
      <c r="AH10" s="6">
        <v>12929307000000</v>
      </c>
      <c r="AI10" s="6">
        <v>8606526000000</v>
      </c>
      <c r="AJ10" s="6">
        <v>15274541000000</v>
      </c>
      <c r="AK10" s="6">
        <v>21955775000000</v>
      </c>
      <c r="AL10" s="6">
        <v>14526258000000</v>
      </c>
      <c r="AM10" s="6">
        <v>2411264000000</v>
      </c>
      <c r="AN10" s="6">
        <v>549696000000</v>
      </c>
      <c r="AO10" s="6">
        <v>490537000000</v>
      </c>
      <c r="AP10" s="6">
        <v>2035304000000</v>
      </c>
      <c r="AQ10" s="6">
        <v>10809309000000</v>
      </c>
    </row>
    <row r="11" spans="1:43" x14ac:dyDescent="0.25">
      <c r="A11" s="8" t="s">
        <v>9</v>
      </c>
      <c r="B11" s="9">
        <v>995176000000</v>
      </c>
      <c r="C11" s="9">
        <v>922956000000</v>
      </c>
      <c r="D11" s="9">
        <v>456046000000</v>
      </c>
      <c r="E11" s="9">
        <v>400000000000</v>
      </c>
      <c r="F11" s="9">
        <v>708369000000</v>
      </c>
      <c r="G11" s="9">
        <v>400000000000</v>
      </c>
      <c r="H11" s="9">
        <v>645333000000</v>
      </c>
      <c r="I11" s="9">
        <v>4693398000000</v>
      </c>
      <c r="J11" s="9">
        <v>2853111000000</v>
      </c>
      <c r="K11" s="9">
        <v>1898619000000</v>
      </c>
      <c r="L11" s="9">
        <v>2342829000000</v>
      </c>
      <c r="M11" s="9">
        <v>2603376000000</v>
      </c>
      <c r="N11" s="9">
        <v>1936944000000</v>
      </c>
      <c r="O11" s="9">
        <v>2097898000000</v>
      </c>
      <c r="P11" s="9">
        <v>1853534000000</v>
      </c>
      <c r="Q11" s="9">
        <v>4650988000000</v>
      </c>
      <c r="R11" s="9">
        <v>4816174000000</v>
      </c>
      <c r="S11" s="9">
        <v>3071272000000</v>
      </c>
      <c r="T11" s="9">
        <v>9243665000000</v>
      </c>
      <c r="U11" s="9">
        <v>12478245000000</v>
      </c>
      <c r="V11" s="9">
        <v>10977297000000</v>
      </c>
      <c r="W11" s="9">
        <v>10443805000000</v>
      </c>
      <c r="X11" s="9">
        <v>12883602000000</v>
      </c>
      <c r="Y11" s="9">
        <v>11200948000000</v>
      </c>
      <c r="Z11" s="9">
        <v>10049814000000</v>
      </c>
      <c r="AA11" s="9">
        <v>3409908000000</v>
      </c>
      <c r="AB11" s="9">
        <v>2386118000000</v>
      </c>
      <c r="AC11" s="9">
        <v>1797822000000</v>
      </c>
      <c r="AD11" s="9">
        <v>3867579000000</v>
      </c>
      <c r="AE11" s="9">
        <v>7305631000000</v>
      </c>
      <c r="AF11" s="9">
        <v>21599611000000</v>
      </c>
      <c r="AG11" s="9">
        <v>18580932000000</v>
      </c>
      <c r="AH11" s="9">
        <v>12929307000000</v>
      </c>
      <c r="AI11" s="9">
        <v>8606526000000</v>
      </c>
      <c r="AJ11" s="9">
        <v>15274541000000</v>
      </c>
      <c r="AK11" s="9">
        <v>21955775000000</v>
      </c>
      <c r="AL11" s="9">
        <v>14526258000000</v>
      </c>
      <c r="AM11" s="9">
        <v>2411264000000</v>
      </c>
      <c r="AN11" s="9">
        <v>549696000000</v>
      </c>
      <c r="AO11" s="9">
        <v>490537000000</v>
      </c>
      <c r="AP11" s="9">
        <v>2035304000000</v>
      </c>
      <c r="AQ11" s="9">
        <v>10988071000000</v>
      </c>
    </row>
    <row r="12" spans="1:43" x14ac:dyDescent="0.25">
      <c r="A12" s="8" t="s">
        <v>10</v>
      </c>
      <c r="B12" s="9">
        <v>-9339000000</v>
      </c>
      <c r="C12" s="9">
        <v>-6922000000</v>
      </c>
      <c r="D12" s="9">
        <v>-3394000000</v>
      </c>
      <c r="E12" s="9">
        <v>-3063000000</v>
      </c>
      <c r="F12" s="9">
        <v>-3000000000</v>
      </c>
      <c r="G12" s="9">
        <v>-3000000000</v>
      </c>
      <c r="H12" s="9">
        <v>-3000000000</v>
      </c>
      <c r="I12" s="9">
        <v>-3000000000</v>
      </c>
      <c r="J12" s="9">
        <v>-3000000000</v>
      </c>
      <c r="K12" s="9">
        <v>-8742000000</v>
      </c>
      <c r="L12" s="9">
        <v>-5342000000</v>
      </c>
      <c r="M12" s="9">
        <v>-6750000000</v>
      </c>
      <c r="N12" s="9">
        <v>-3000000000</v>
      </c>
      <c r="O12" s="9">
        <v>-6000000000</v>
      </c>
      <c r="P12" s="9">
        <v>-6000000000</v>
      </c>
      <c r="Q12" s="9">
        <v>-7500000000</v>
      </c>
      <c r="R12" s="9">
        <v>-3560000000</v>
      </c>
      <c r="S12" s="9">
        <v>-21698000000</v>
      </c>
      <c r="T12" s="9">
        <v>-21698000000</v>
      </c>
      <c r="U12" s="10">
        <v>-143000000</v>
      </c>
      <c r="V12" s="10">
        <v>-143000000</v>
      </c>
      <c r="W12" s="9">
        <v>-3205000000</v>
      </c>
      <c r="X12" s="9">
        <v>-3205000000</v>
      </c>
      <c r="Y12" s="9">
        <v>-2881000000</v>
      </c>
      <c r="Z12" s="9">
        <v>-2881000000</v>
      </c>
      <c r="AA12" s="9">
        <v>-2881000000</v>
      </c>
      <c r="AB12" s="9">
        <v>-2881000000</v>
      </c>
      <c r="AC12" s="10">
        <v>0</v>
      </c>
      <c r="AD12" s="10">
        <v>0</v>
      </c>
      <c r="AE12" s="10">
        <v>0</v>
      </c>
      <c r="AF12" s="10">
        <v>0</v>
      </c>
      <c r="AG12" s="10">
        <v>0</v>
      </c>
      <c r="AH12" s="10">
        <v>0</v>
      </c>
      <c r="AI12" s="10">
        <v>0</v>
      </c>
      <c r="AJ12" s="10">
        <v>0</v>
      </c>
      <c r="AK12" s="10">
        <v>0</v>
      </c>
      <c r="AL12" s="10">
        <v>0</v>
      </c>
      <c r="AM12" s="10">
        <v>0</v>
      </c>
      <c r="AN12" s="10">
        <v>0</v>
      </c>
      <c r="AO12" s="10">
        <v>0</v>
      </c>
      <c r="AP12" s="10">
        <v>0</v>
      </c>
      <c r="AQ12" s="9">
        <v>-178762000000</v>
      </c>
    </row>
    <row r="13" spans="1:43" x14ac:dyDescent="0.25">
      <c r="A13" s="5" t="s">
        <v>11</v>
      </c>
      <c r="B13" s="4">
        <v>697000000</v>
      </c>
      <c r="C13" s="6">
        <v>103963000000</v>
      </c>
      <c r="D13" s="6">
        <v>1545000000</v>
      </c>
      <c r="E13" s="4">
        <v>0</v>
      </c>
      <c r="F13" s="6">
        <v>51505000000</v>
      </c>
      <c r="G13" s="4">
        <v>0</v>
      </c>
      <c r="H13" s="6">
        <v>98303000000</v>
      </c>
      <c r="I13" s="4">
        <v>0</v>
      </c>
      <c r="J13" s="6">
        <v>28122000000</v>
      </c>
      <c r="K13" s="6">
        <v>13401000000</v>
      </c>
      <c r="L13" s="6">
        <v>11337000000</v>
      </c>
      <c r="M13" s="6">
        <v>208294000000</v>
      </c>
      <c r="N13" s="4">
        <v>0</v>
      </c>
      <c r="O13" s="4">
        <v>0</v>
      </c>
      <c r="P13" s="6">
        <v>1650000000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6">
        <v>85426000000</v>
      </c>
      <c r="W13" s="6">
        <v>56611000000</v>
      </c>
      <c r="X13" s="6">
        <v>48528000000</v>
      </c>
      <c r="Y13" s="4">
        <v>0</v>
      </c>
      <c r="Z13" s="4">
        <v>0</v>
      </c>
      <c r="AA13" s="6">
        <v>16070000000</v>
      </c>
      <c r="AB13" s="4">
        <v>0</v>
      </c>
      <c r="AC13" s="4">
        <v>0</v>
      </c>
      <c r="AD13" s="4">
        <v>0</v>
      </c>
      <c r="AE13" s="6">
        <v>205729000000</v>
      </c>
      <c r="AF13" s="4">
        <v>0</v>
      </c>
      <c r="AG13" s="6">
        <v>110079000000</v>
      </c>
      <c r="AH13" s="6">
        <v>124577000000</v>
      </c>
      <c r="AI13" s="6">
        <v>381092000000</v>
      </c>
      <c r="AJ13" s="4">
        <v>0</v>
      </c>
      <c r="AK13" s="4">
        <v>0</v>
      </c>
      <c r="AL13" s="4">
        <v>0</v>
      </c>
      <c r="AM13" s="6">
        <v>40229000000</v>
      </c>
      <c r="AN13" s="6">
        <v>148153000000</v>
      </c>
      <c r="AO13" s="4">
        <v>0</v>
      </c>
      <c r="AP13" s="6">
        <v>111102000000</v>
      </c>
      <c r="AQ13" s="6">
        <v>420999000000</v>
      </c>
    </row>
    <row r="14" spans="1:43" x14ac:dyDescent="0.25">
      <c r="A14" s="7" t="s">
        <v>12</v>
      </c>
      <c r="B14" s="6">
        <v>65555709000000</v>
      </c>
      <c r="C14" s="6">
        <v>70815074000000</v>
      </c>
      <c r="D14" s="6">
        <v>73448682000000</v>
      </c>
      <c r="E14" s="6">
        <v>81303975000000</v>
      </c>
      <c r="F14" s="6">
        <v>87142559000000</v>
      </c>
      <c r="G14" s="6">
        <v>95875982000000</v>
      </c>
      <c r="H14" s="6">
        <v>95489766000000</v>
      </c>
      <c r="I14" s="6">
        <v>103336328000000</v>
      </c>
      <c r="J14" s="6">
        <v>114673489000000</v>
      </c>
      <c r="K14" s="6">
        <v>118965247000000</v>
      </c>
      <c r="L14" s="6">
        <v>119572248000000</v>
      </c>
      <c r="M14" s="6">
        <v>121791723000000</v>
      </c>
      <c r="N14" s="6">
        <v>127556296000000</v>
      </c>
      <c r="O14" s="6">
        <v>136295829000000</v>
      </c>
      <c r="P14" s="6">
        <v>138631393000000</v>
      </c>
      <c r="Q14" s="6">
        <v>144699636000000</v>
      </c>
      <c r="R14" s="6">
        <v>150733323000000</v>
      </c>
      <c r="S14" s="6">
        <v>158574053000000</v>
      </c>
      <c r="T14" s="6">
        <v>162533281000000</v>
      </c>
      <c r="U14" s="6">
        <v>176387656000000</v>
      </c>
      <c r="V14" s="6">
        <v>185334408000000</v>
      </c>
      <c r="W14" s="6">
        <v>189796578000000</v>
      </c>
      <c r="X14" s="6">
        <v>189346267000000</v>
      </c>
      <c r="Y14" s="6">
        <v>200758833000000</v>
      </c>
      <c r="Z14" s="6">
        <v>222466108000000</v>
      </c>
      <c r="AA14" s="6">
        <v>234742051000000</v>
      </c>
      <c r="AB14" s="6">
        <v>243426139000000</v>
      </c>
      <c r="AC14" s="6">
        <v>260754811000000</v>
      </c>
      <c r="AD14" s="6">
        <v>285239105000000</v>
      </c>
      <c r="AE14" s="6">
        <v>283565064000000</v>
      </c>
      <c r="AF14" s="6">
        <v>288136806000000</v>
      </c>
      <c r="AG14" s="6">
        <v>339349838000000</v>
      </c>
      <c r="AH14" s="6">
        <v>358835149000000</v>
      </c>
      <c r="AI14" s="6">
        <v>381419719000000</v>
      </c>
      <c r="AJ14" s="6">
        <v>393739706000000</v>
      </c>
      <c r="AK14" s="6">
        <v>436606237000000</v>
      </c>
      <c r="AL14" s="6">
        <v>440468264000000</v>
      </c>
      <c r="AM14" s="6">
        <v>502451955000000</v>
      </c>
      <c r="AN14" s="6">
        <v>482446820000000</v>
      </c>
      <c r="AO14" s="6">
        <v>539068773000000</v>
      </c>
      <c r="AP14" s="6">
        <v>593322802000000</v>
      </c>
      <c r="AQ14" s="6">
        <v>649803170000000</v>
      </c>
    </row>
    <row r="15" spans="1:43" x14ac:dyDescent="0.25">
      <c r="A15" s="8" t="s">
        <v>13</v>
      </c>
      <c r="B15" s="9">
        <v>66342898000000</v>
      </c>
      <c r="C15" s="9">
        <v>71779198000000</v>
      </c>
      <c r="D15" s="9">
        <v>74500897000000</v>
      </c>
      <c r="E15" s="9">
        <v>82224372000000</v>
      </c>
      <c r="F15" s="9">
        <v>88116321000000</v>
      </c>
      <c r="G15" s="9">
        <v>96945442000000</v>
      </c>
      <c r="H15" s="9">
        <v>96612423000000</v>
      </c>
      <c r="I15" s="9">
        <v>104497027000000</v>
      </c>
      <c r="J15" s="9">
        <v>115886169000000</v>
      </c>
      <c r="K15" s="9">
        <v>120338093000000</v>
      </c>
      <c r="L15" s="9">
        <v>120892934000000</v>
      </c>
      <c r="M15" s="9">
        <v>123131648000000</v>
      </c>
      <c r="N15" s="9">
        <v>128936571000000</v>
      </c>
      <c r="O15" s="9">
        <v>137781337000000</v>
      </c>
      <c r="P15" s="9">
        <v>140167685000000</v>
      </c>
      <c r="Q15" s="9">
        <v>146324378000000</v>
      </c>
      <c r="R15" s="9">
        <v>152405077000000</v>
      </c>
      <c r="S15" s="9">
        <v>160371930000000</v>
      </c>
      <c r="T15" s="9">
        <v>164462771000000</v>
      </c>
      <c r="U15" s="9">
        <v>178323092000000</v>
      </c>
      <c r="V15" s="9">
        <v>187279481000000</v>
      </c>
      <c r="W15" s="9">
        <v>191841072000000</v>
      </c>
      <c r="X15" s="9">
        <v>191514813000000</v>
      </c>
      <c r="Y15" s="9">
        <v>203210901000000</v>
      </c>
      <c r="Z15" s="9">
        <v>225153895000000</v>
      </c>
      <c r="AA15" s="9">
        <v>237688422000000</v>
      </c>
      <c r="AB15" s="9">
        <v>246497884000000</v>
      </c>
      <c r="AC15" s="9">
        <v>263856383000000</v>
      </c>
      <c r="AD15" s="9">
        <v>288528712000000</v>
      </c>
      <c r="AE15" s="9">
        <v>287355418000000</v>
      </c>
      <c r="AF15" s="9">
        <v>291716649000000</v>
      </c>
      <c r="AG15" s="9">
        <v>343404295000000</v>
      </c>
      <c r="AH15" s="9">
        <v>363449382000000</v>
      </c>
      <c r="AI15" s="9">
        <v>386186737000000</v>
      </c>
      <c r="AJ15" s="9">
        <v>398724457000000</v>
      </c>
      <c r="AK15" s="9">
        <v>442484841000000</v>
      </c>
      <c r="AL15" s="9">
        <v>446106052000000</v>
      </c>
      <c r="AM15" s="9">
        <v>508548842000000</v>
      </c>
      <c r="AN15" s="9">
        <v>488594897000000</v>
      </c>
      <c r="AO15" s="9">
        <v>546370779000000</v>
      </c>
      <c r="AP15" s="9">
        <v>601140427000000</v>
      </c>
      <c r="AQ15" s="9">
        <v>659000255000000</v>
      </c>
    </row>
    <row r="16" spans="1:43" x14ac:dyDescent="0.25">
      <c r="A16" s="8" t="s">
        <v>14</v>
      </c>
      <c r="B16" s="9">
        <v>-787189000000</v>
      </c>
      <c r="C16" s="9">
        <v>-964124000000</v>
      </c>
      <c r="D16" s="9">
        <v>-1052215000000</v>
      </c>
      <c r="E16" s="9">
        <v>-920397000000</v>
      </c>
      <c r="F16" s="9">
        <v>-973762000000</v>
      </c>
      <c r="G16" s="9">
        <v>-1069460000000</v>
      </c>
      <c r="H16" s="9">
        <v>-1122657000000</v>
      </c>
      <c r="I16" s="9">
        <v>-1160699000000</v>
      </c>
      <c r="J16" s="9">
        <v>-1212680000000</v>
      </c>
      <c r="K16" s="9">
        <v>-1372846000000</v>
      </c>
      <c r="L16" s="9">
        <v>-1320686000000</v>
      </c>
      <c r="M16" s="9">
        <v>-1339925000000</v>
      </c>
      <c r="N16" s="9">
        <v>-1380275000000</v>
      </c>
      <c r="O16" s="9">
        <v>-1485508000000</v>
      </c>
      <c r="P16" s="9">
        <v>-1536292000000</v>
      </c>
      <c r="Q16" s="9">
        <v>-1624742000000</v>
      </c>
      <c r="R16" s="9">
        <v>-1671754000000</v>
      </c>
      <c r="S16" s="9">
        <v>-1797877000000</v>
      </c>
      <c r="T16" s="9">
        <v>-1929490000000</v>
      </c>
      <c r="U16" s="9">
        <v>-1935436000000</v>
      </c>
      <c r="V16" s="9">
        <v>-1945073000000</v>
      </c>
      <c r="W16" s="9">
        <v>-2044494000000</v>
      </c>
      <c r="X16" s="9">
        <v>-2168546000000</v>
      </c>
      <c r="Y16" s="9">
        <v>-2452068000000</v>
      </c>
      <c r="Z16" s="9">
        <v>-2687787000000</v>
      </c>
      <c r="AA16" s="9">
        <v>-2946371000000</v>
      </c>
      <c r="AB16" s="9">
        <v>-3071745000000</v>
      </c>
      <c r="AC16" s="9">
        <v>-3101572000000</v>
      </c>
      <c r="AD16" s="9">
        <v>-3289607000000</v>
      </c>
      <c r="AE16" s="9">
        <v>-3790354000000</v>
      </c>
      <c r="AF16" s="9">
        <v>-3579843000000</v>
      </c>
      <c r="AG16" s="9">
        <v>-4054457000000</v>
      </c>
      <c r="AH16" s="9">
        <v>-4614233000000</v>
      </c>
      <c r="AI16" s="9">
        <v>-4767018000000</v>
      </c>
      <c r="AJ16" s="9">
        <v>-4984751000000</v>
      </c>
      <c r="AK16" s="9">
        <v>-5878604000000</v>
      </c>
      <c r="AL16" s="9">
        <v>-5637788000000</v>
      </c>
      <c r="AM16" s="9">
        <v>-6096887000000</v>
      </c>
      <c r="AN16" s="9">
        <v>-6148077000000</v>
      </c>
      <c r="AO16" s="9">
        <v>-7302006000000</v>
      </c>
      <c r="AP16" s="9">
        <v>-7817625000000</v>
      </c>
      <c r="AQ16" s="9">
        <v>-9197085000000</v>
      </c>
    </row>
    <row r="17" spans="1:43" x14ac:dyDescent="0.25">
      <c r="A17" s="7" t="s">
        <v>15</v>
      </c>
      <c r="B17" s="6">
        <v>22353989000000</v>
      </c>
      <c r="C17" s="6">
        <v>27930032000000</v>
      </c>
      <c r="D17" s="6">
        <v>33197003000000</v>
      </c>
      <c r="E17" s="6">
        <v>34261091000000</v>
      </c>
      <c r="F17" s="6">
        <v>37076750000000</v>
      </c>
      <c r="G17" s="6">
        <v>32459476000000</v>
      </c>
      <c r="H17" s="6">
        <v>42682806000000</v>
      </c>
      <c r="I17" s="6">
        <v>45802141000000</v>
      </c>
      <c r="J17" s="6">
        <v>39386619000000</v>
      </c>
      <c r="K17" s="6">
        <v>32818835000000</v>
      </c>
      <c r="L17" s="6">
        <v>40679792000000</v>
      </c>
      <c r="M17" s="6">
        <v>42694913000000</v>
      </c>
      <c r="N17" s="6">
        <v>38842836000000</v>
      </c>
      <c r="O17" s="6">
        <v>36659984000000</v>
      </c>
      <c r="P17" s="6">
        <v>38026229000000</v>
      </c>
      <c r="Q17" s="6">
        <v>36041894000000</v>
      </c>
      <c r="R17" s="6">
        <v>40553562000000</v>
      </c>
      <c r="S17" s="6">
        <v>39903427000000</v>
      </c>
      <c r="T17" s="6">
        <v>48949397000000</v>
      </c>
      <c r="U17" s="6">
        <v>58236806000000</v>
      </c>
      <c r="V17" s="6">
        <v>53219476000000</v>
      </c>
      <c r="W17" s="6">
        <v>54467346000000</v>
      </c>
      <c r="X17" s="6">
        <v>58820275000000</v>
      </c>
      <c r="Y17" s="6">
        <v>65513425000000</v>
      </c>
      <c r="Z17" s="6">
        <v>60494732000000</v>
      </c>
      <c r="AA17" s="6">
        <v>59200131000000</v>
      </c>
      <c r="AB17" s="6">
        <v>56383097000000</v>
      </c>
      <c r="AC17" s="6">
        <v>48789184000000</v>
      </c>
      <c r="AD17" s="6">
        <v>55793600000000</v>
      </c>
      <c r="AE17" s="6">
        <v>44652422000000</v>
      </c>
      <c r="AF17" s="6">
        <v>51041447000000</v>
      </c>
      <c r="AG17" s="6">
        <v>44092289000000</v>
      </c>
      <c r="AH17" s="6">
        <v>55248147000000</v>
      </c>
      <c r="AI17" s="6">
        <v>60762059000000</v>
      </c>
      <c r="AJ17" s="6">
        <v>34611149000000</v>
      </c>
      <c r="AK17" s="6">
        <v>48751284000000</v>
      </c>
      <c r="AL17" s="6">
        <v>49726466000000</v>
      </c>
      <c r="AM17" s="6">
        <v>71362330000000</v>
      </c>
      <c r="AN17" s="6">
        <v>63385953000000</v>
      </c>
      <c r="AO17" s="6">
        <v>76811704000000</v>
      </c>
      <c r="AP17" s="6">
        <v>88955221000000</v>
      </c>
      <c r="AQ17" s="6">
        <v>104148714000000</v>
      </c>
    </row>
    <row r="18" spans="1:43" x14ac:dyDescent="0.25">
      <c r="A18" s="8" t="s">
        <v>16</v>
      </c>
      <c r="B18" s="9">
        <v>17926902000000</v>
      </c>
      <c r="C18" s="9">
        <v>24186711000000</v>
      </c>
      <c r="D18" s="9">
        <v>28600670000000</v>
      </c>
      <c r="E18" s="9">
        <v>24267353000000</v>
      </c>
      <c r="F18" s="9">
        <v>27763167000000</v>
      </c>
      <c r="G18" s="9">
        <v>25016638000000</v>
      </c>
      <c r="H18" s="9">
        <v>35127944000000</v>
      </c>
      <c r="I18" s="9">
        <v>37417732000000</v>
      </c>
      <c r="J18" s="9">
        <v>31737506000000</v>
      </c>
      <c r="K18" s="9">
        <v>26700583000000</v>
      </c>
      <c r="L18" s="9">
        <v>31867922000000</v>
      </c>
      <c r="M18" s="9">
        <v>25754996000000</v>
      </c>
      <c r="N18" s="9">
        <v>22959264000000</v>
      </c>
      <c r="O18" s="9">
        <v>22410441000000</v>
      </c>
      <c r="P18" s="9">
        <v>21764039000000</v>
      </c>
      <c r="Q18" s="9">
        <v>15749443000000</v>
      </c>
      <c r="R18" s="9">
        <v>16118458000000</v>
      </c>
      <c r="S18" s="9">
        <v>13379712000000</v>
      </c>
      <c r="T18" s="9">
        <v>18965327000000</v>
      </c>
      <c r="U18" s="9">
        <v>30143484000000</v>
      </c>
      <c r="V18" s="9">
        <v>28693530000000</v>
      </c>
      <c r="W18" s="9">
        <v>29205781000000</v>
      </c>
      <c r="X18" s="9">
        <v>34270440000000</v>
      </c>
      <c r="Y18" s="9">
        <v>43656434000000</v>
      </c>
      <c r="Z18" s="9">
        <v>43512725000000</v>
      </c>
      <c r="AA18" s="9">
        <v>46951408000000</v>
      </c>
      <c r="AB18" s="9">
        <v>41012653000000</v>
      </c>
      <c r="AC18" s="9">
        <v>35375058000000</v>
      </c>
      <c r="AD18" s="9">
        <v>42515463000000</v>
      </c>
      <c r="AE18" s="9">
        <v>37610068000000</v>
      </c>
      <c r="AF18" s="9">
        <v>26700855000000</v>
      </c>
      <c r="AG18" s="9">
        <v>31871688000000</v>
      </c>
      <c r="AH18" s="9">
        <v>33368663000000</v>
      </c>
      <c r="AI18" s="9">
        <v>38311638000000</v>
      </c>
      <c r="AJ18" s="9">
        <v>28086753000000</v>
      </c>
      <c r="AK18" s="9">
        <v>31407524000000</v>
      </c>
      <c r="AL18" s="9">
        <v>45597975000000</v>
      </c>
      <c r="AM18" s="9">
        <v>67243887000000</v>
      </c>
      <c r="AN18" s="9">
        <v>59301804000000</v>
      </c>
      <c r="AO18" s="9">
        <v>72904811000000</v>
      </c>
      <c r="AP18" s="9">
        <v>84729951000000</v>
      </c>
      <c r="AQ18" s="9">
        <v>99072619000000</v>
      </c>
    </row>
    <row r="19" spans="1:43" x14ac:dyDescent="0.25">
      <c r="A19" s="8" t="s">
        <v>17</v>
      </c>
      <c r="B19" s="9">
        <v>4966437000000</v>
      </c>
      <c r="C19" s="9">
        <v>4455761000000</v>
      </c>
      <c r="D19" s="9">
        <v>5410592000000</v>
      </c>
      <c r="E19" s="9">
        <v>11020813000000</v>
      </c>
      <c r="F19" s="9">
        <v>10366859000000</v>
      </c>
      <c r="G19" s="9">
        <v>8508655000000</v>
      </c>
      <c r="H19" s="9">
        <v>8718121000000</v>
      </c>
      <c r="I19" s="9">
        <v>9614647000000</v>
      </c>
      <c r="J19" s="9">
        <v>8851858000000</v>
      </c>
      <c r="K19" s="9">
        <v>6966054000000</v>
      </c>
      <c r="L19" s="9">
        <v>9655484000000</v>
      </c>
      <c r="M19" s="9">
        <v>17888621000000</v>
      </c>
      <c r="N19" s="9">
        <v>16793735000000</v>
      </c>
      <c r="O19" s="9">
        <v>15157992000000</v>
      </c>
      <c r="P19" s="9">
        <v>17211731000000</v>
      </c>
      <c r="Q19" s="9">
        <v>20696368000000</v>
      </c>
      <c r="R19" s="9">
        <v>25052541000000</v>
      </c>
      <c r="S19" s="9">
        <v>26623949000000</v>
      </c>
      <c r="T19" s="9">
        <v>30090341000000</v>
      </c>
      <c r="U19" s="9">
        <v>28180901000000</v>
      </c>
      <c r="V19" s="9">
        <v>24612582000000</v>
      </c>
      <c r="W19" s="9">
        <v>25349148000000</v>
      </c>
      <c r="X19" s="9">
        <v>24647047000000</v>
      </c>
      <c r="Y19" s="9">
        <v>21955594000000</v>
      </c>
      <c r="Z19" s="9">
        <v>17071519000000</v>
      </c>
      <c r="AA19" s="9">
        <v>12325996000000</v>
      </c>
      <c r="AB19" s="9">
        <v>15434181000000</v>
      </c>
      <c r="AC19" s="9">
        <v>13444130000000</v>
      </c>
      <c r="AD19" s="9">
        <v>13306242000000</v>
      </c>
      <c r="AE19" s="9">
        <v>7085653000000</v>
      </c>
      <c r="AF19" s="9">
        <v>24395825000000</v>
      </c>
      <c r="AG19" s="9">
        <v>12304873000000</v>
      </c>
      <c r="AH19" s="9">
        <v>21991503000000</v>
      </c>
      <c r="AI19" s="9">
        <v>22570977000000</v>
      </c>
      <c r="AJ19" s="9">
        <v>6668285000000</v>
      </c>
      <c r="AK19" s="9">
        <v>17436610000000</v>
      </c>
      <c r="AL19" s="9">
        <v>4233951000000</v>
      </c>
      <c r="AM19" s="9">
        <v>4231266000000</v>
      </c>
      <c r="AN19" s="9">
        <v>4228551000000</v>
      </c>
      <c r="AO19" s="9">
        <v>4039836000000</v>
      </c>
      <c r="AP19" s="9">
        <v>4337181000000</v>
      </c>
      <c r="AQ19" s="9">
        <v>5228294000000</v>
      </c>
    </row>
    <row r="20" spans="1:43" x14ac:dyDescent="0.25">
      <c r="A20" s="8" t="s">
        <v>18</v>
      </c>
      <c r="B20" s="9">
        <v>-539350000000</v>
      </c>
      <c r="C20" s="9">
        <v>-712440000000</v>
      </c>
      <c r="D20" s="9">
        <v>-814259000000</v>
      </c>
      <c r="E20" s="9">
        <v>-1027075000000</v>
      </c>
      <c r="F20" s="9">
        <v>-1053276000000</v>
      </c>
      <c r="G20" s="9">
        <v>-1065817000000</v>
      </c>
      <c r="H20" s="9">
        <v>-1163259000000</v>
      </c>
      <c r="I20" s="9">
        <v>-1230238000000</v>
      </c>
      <c r="J20" s="9">
        <v>-1202745000000</v>
      </c>
      <c r="K20" s="9">
        <v>-847802000000</v>
      </c>
      <c r="L20" s="9">
        <v>-843614000000</v>
      </c>
      <c r="M20" s="9">
        <v>-948704000000</v>
      </c>
      <c r="N20" s="9">
        <v>-910163000000</v>
      </c>
      <c r="O20" s="9">
        <v>-908449000000</v>
      </c>
      <c r="P20" s="9">
        <v>-949541000000</v>
      </c>
      <c r="Q20" s="9">
        <v>-403917000000</v>
      </c>
      <c r="R20" s="9">
        <v>-617437000000</v>
      </c>
      <c r="S20" s="9">
        <v>-100234000000</v>
      </c>
      <c r="T20" s="9">
        <v>-106271000000</v>
      </c>
      <c r="U20" s="9">
        <v>-87579000000</v>
      </c>
      <c r="V20" s="9">
        <v>-86636000000</v>
      </c>
      <c r="W20" s="9">
        <v>-87583000000</v>
      </c>
      <c r="X20" s="9">
        <v>-97212000000</v>
      </c>
      <c r="Y20" s="9">
        <v>-98603000000</v>
      </c>
      <c r="Z20" s="9">
        <v>-89512000000</v>
      </c>
      <c r="AA20" s="9">
        <v>-77273000000</v>
      </c>
      <c r="AB20" s="9">
        <v>-63737000000</v>
      </c>
      <c r="AC20" s="9">
        <v>-30004000000</v>
      </c>
      <c r="AD20" s="9">
        <v>-28105000000</v>
      </c>
      <c r="AE20" s="9">
        <v>-43299000000</v>
      </c>
      <c r="AF20" s="9">
        <v>-55233000000</v>
      </c>
      <c r="AG20" s="9">
        <v>-84272000000</v>
      </c>
      <c r="AH20" s="9">
        <v>-112019000000</v>
      </c>
      <c r="AI20" s="9">
        <v>-120556000000</v>
      </c>
      <c r="AJ20" s="9">
        <v>-143889000000</v>
      </c>
      <c r="AK20" s="9">
        <v>-92850000000</v>
      </c>
      <c r="AL20" s="9">
        <v>-105460000000</v>
      </c>
      <c r="AM20" s="9">
        <v>-112823000000</v>
      </c>
      <c r="AN20" s="9">
        <v>-144402000000</v>
      </c>
      <c r="AO20" s="9">
        <v>-132943000000</v>
      </c>
      <c r="AP20" s="9">
        <v>-111911000000</v>
      </c>
      <c r="AQ20" s="9">
        <v>-152199000000</v>
      </c>
    </row>
    <row r="21" spans="1:43" x14ac:dyDescent="0.25">
      <c r="A21" s="7" t="s">
        <v>19</v>
      </c>
      <c r="B21" s="6">
        <v>440178000000</v>
      </c>
      <c r="C21" s="6">
        <v>440608000000</v>
      </c>
      <c r="D21" s="6">
        <v>427646000000</v>
      </c>
      <c r="E21" s="6">
        <v>389895000000</v>
      </c>
      <c r="F21" s="6">
        <v>379607000000</v>
      </c>
      <c r="G21" s="6">
        <v>377916000000</v>
      </c>
      <c r="H21" s="6">
        <v>374062000000</v>
      </c>
      <c r="I21" s="6">
        <v>382112000000</v>
      </c>
      <c r="J21" s="6">
        <v>379382000000</v>
      </c>
      <c r="K21" s="6">
        <v>379282000000</v>
      </c>
      <c r="L21" s="6">
        <v>375727000000</v>
      </c>
      <c r="M21" s="6">
        <v>164931000000</v>
      </c>
      <c r="N21" s="6">
        <v>164931000000</v>
      </c>
      <c r="O21" s="6">
        <v>166821000000</v>
      </c>
      <c r="P21" s="6">
        <v>166821000000</v>
      </c>
      <c r="Q21" s="6">
        <v>166821000000</v>
      </c>
      <c r="R21" s="6">
        <v>161050000000</v>
      </c>
      <c r="S21" s="6">
        <v>154887000000</v>
      </c>
      <c r="T21" s="6">
        <v>154887000000</v>
      </c>
      <c r="U21" s="6">
        <v>153636000000</v>
      </c>
      <c r="V21" s="6">
        <v>153636000000</v>
      </c>
      <c r="W21" s="6">
        <v>143003000000</v>
      </c>
      <c r="X21" s="6">
        <v>143003000000</v>
      </c>
      <c r="Y21" s="6">
        <v>123831000000</v>
      </c>
      <c r="Z21" s="6">
        <v>143331000000</v>
      </c>
      <c r="AA21" s="6">
        <v>143820000000</v>
      </c>
      <c r="AB21" s="6">
        <v>143820000000</v>
      </c>
      <c r="AC21" s="6">
        <v>144023000000</v>
      </c>
      <c r="AD21" s="6">
        <v>144023000000</v>
      </c>
      <c r="AE21" s="6">
        <v>143858000000</v>
      </c>
      <c r="AF21" s="6">
        <v>143858000000</v>
      </c>
      <c r="AG21" s="6">
        <v>143781000000</v>
      </c>
      <c r="AH21" s="6">
        <v>143781000000</v>
      </c>
      <c r="AI21" s="6">
        <v>789226000000</v>
      </c>
      <c r="AJ21" s="6">
        <v>811249000000</v>
      </c>
      <c r="AK21" s="6">
        <v>857544000000</v>
      </c>
      <c r="AL21" s="6">
        <v>869471000000</v>
      </c>
      <c r="AM21" s="6">
        <v>939185000000</v>
      </c>
      <c r="AN21" s="6">
        <v>994299000000</v>
      </c>
      <c r="AO21" s="6">
        <v>1149501000000</v>
      </c>
      <c r="AP21" s="6">
        <v>1243258000000</v>
      </c>
      <c r="AQ21" s="6">
        <v>117692000000</v>
      </c>
    </row>
    <row r="22" spans="1:43" x14ac:dyDescent="0.25">
      <c r="A22" s="8" t="s">
        <v>20</v>
      </c>
      <c r="B22" s="10">
        <v>0</v>
      </c>
      <c r="C22" s="10">
        <v>0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  <c r="L22" s="10">
        <v>0</v>
      </c>
      <c r="M22" s="10">
        <v>0</v>
      </c>
      <c r="N22" s="10">
        <v>0</v>
      </c>
      <c r="O22" s="10">
        <v>0</v>
      </c>
      <c r="P22" s="10">
        <v>0</v>
      </c>
      <c r="Q22" s="10">
        <v>0</v>
      </c>
      <c r="R22" s="10">
        <v>0</v>
      </c>
      <c r="S22" s="10">
        <v>0</v>
      </c>
      <c r="T22" s="10">
        <v>0</v>
      </c>
      <c r="U22" s="10">
        <v>0</v>
      </c>
      <c r="V22" s="10">
        <v>0</v>
      </c>
      <c r="W22" s="10">
        <v>0</v>
      </c>
      <c r="X22" s="10">
        <v>0</v>
      </c>
      <c r="Y22" s="10">
        <v>0</v>
      </c>
      <c r="Z22" s="10">
        <v>0</v>
      </c>
      <c r="AA22" s="10">
        <v>0</v>
      </c>
      <c r="AB22" s="10">
        <v>0</v>
      </c>
      <c r="AC22" s="10">
        <v>0</v>
      </c>
      <c r="AD22" s="10">
        <v>0</v>
      </c>
      <c r="AE22" s="10">
        <v>0</v>
      </c>
      <c r="AF22" s="10">
        <v>0</v>
      </c>
      <c r="AG22" s="10">
        <v>0</v>
      </c>
      <c r="AH22" s="10">
        <v>0</v>
      </c>
      <c r="AI22" s="10">
        <v>0</v>
      </c>
      <c r="AJ22" s="10">
        <v>0</v>
      </c>
      <c r="AK22" s="10">
        <v>0</v>
      </c>
      <c r="AL22" s="10">
        <v>0</v>
      </c>
      <c r="AM22" s="10">
        <v>0</v>
      </c>
      <c r="AN22" s="10">
        <v>0</v>
      </c>
      <c r="AO22" s="10">
        <v>0</v>
      </c>
      <c r="AP22" s="10">
        <v>0</v>
      </c>
      <c r="AQ22" s="10">
        <v>0</v>
      </c>
    </row>
    <row r="23" spans="1:43" x14ac:dyDescent="0.25">
      <c r="A23" s="8" t="s">
        <v>21</v>
      </c>
      <c r="B23" s="10">
        <v>0</v>
      </c>
      <c r="C23" s="10">
        <v>0</v>
      </c>
      <c r="D23" s="10">
        <v>0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10">
        <v>0</v>
      </c>
      <c r="K23" s="10">
        <v>0</v>
      </c>
      <c r="L23" s="10">
        <v>0</v>
      </c>
      <c r="M23" s="10">
        <v>0</v>
      </c>
      <c r="N23" s="10">
        <v>0</v>
      </c>
      <c r="O23" s="10">
        <v>0</v>
      </c>
      <c r="P23" s="10">
        <v>0</v>
      </c>
      <c r="Q23" s="10">
        <v>0</v>
      </c>
      <c r="R23" s="10">
        <v>0</v>
      </c>
      <c r="S23" s="10">
        <v>0</v>
      </c>
      <c r="T23" s="10">
        <v>0</v>
      </c>
      <c r="U23" s="10">
        <v>0</v>
      </c>
      <c r="V23" s="10">
        <v>0</v>
      </c>
      <c r="W23" s="10">
        <v>0</v>
      </c>
      <c r="X23" s="10">
        <v>0</v>
      </c>
      <c r="Y23" s="10">
        <v>0</v>
      </c>
      <c r="Z23" s="10">
        <v>0</v>
      </c>
      <c r="AA23" s="10">
        <v>0</v>
      </c>
      <c r="AB23" s="10">
        <v>0</v>
      </c>
      <c r="AC23" s="10">
        <v>0</v>
      </c>
      <c r="AD23" s="10">
        <v>0</v>
      </c>
      <c r="AE23" s="10">
        <v>0</v>
      </c>
      <c r="AF23" s="10">
        <v>0</v>
      </c>
      <c r="AG23" s="10">
        <v>0</v>
      </c>
      <c r="AH23" s="10">
        <v>0</v>
      </c>
      <c r="AI23" s="10">
        <v>0</v>
      </c>
      <c r="AJ23" s="10">
        <v>0</v>
      </c>
      <c r="AK23" s="10">
        <v>0</v>
      </c>
      <c r="AL23" s="10">
        <v>0</v>
      </c>
      <c r="AM23" s="10">
        <v>0</v>
      </c>
      <c r="AN23" s="10">
        <v>0</v>
      </c>
      <c r="AO23" s="10">
        <v>0</v>
      </c>
      <c r="AP23" s="10">
        <v>0</v>
      </c>
      <c r="AQ23" s="10">
        <v>0</v>
      </c>
    </row>
    <row r="24" spans="1:43" x14ac:dyDescent="0.25">
      <c r="A24" s="8" t="s">
        <v>22</v>
      </c>
      <c r="B24" s="10">
        <v>0</v>
      </c>
      <c r="C24" s="10">
        <v>0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0">
        <v>0</v>
      </c>
      <c r="U24" s="10">
        <v>0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E24" s="10">
        <v>0</v>
      </c>
      <c r="AF24" s="10">
        <v>0</v>
      </c>
      <c r="AG24" s="10">
        <v>0</v>
      </c>
      <c r="AH24" s="10">
        <v>0</v>
      </c>
      <c r="AI24" s="9">
        <v>657639000000</v>
      </c>
      <c r="AJ24" s="9">
        <v>679662000000</v>
      </c>
      <c r="AK24" s="9">
        <v>726080000000</v>
      </c>
      <c r="AL24" s="9">
        <v>753307000000</v>
      </c>
      <c r="AM24" s="9">
        <v>821061000000</v>
      </c>
      <c r="AN24" s="9">
        <v>876175000000</v>
      </c>
      <c r="AO24" s="9">
        <v>1031691000000</v>
      </c>
      <c r="AP24" s="9">
        <v>1125764000000</v>
      </c>
      <c r="AQ24" s="10">
        <v>0</v>
      </c>
    </row>
    <row r="25" spans="1:43" x14ac:dyDescent="0.25">
      <c r="A25" s="8" t="s">
        <v>23</v>
      </c>
      <c r="B25" s="9">
        <v>551252000000</v>
      </c>
      <c r="C25" s="9">
        <v>552521000000</v>
      </c>
      <c r="D25" s="9">
        <v>539559000000</v>
      </c>
      <c r="E25" s="9">
        <v>501434000000</v>
      </c>
      <c r="F25" s="9">
        <v>491146000000</v>
      </c>
      <c r="G25" s="9">
        <v>491147000000</v>
      </c>
      <c r="H25" s="9">
        <v>487293000000</v>
      </c>
      <c r="I25" s="9">
        <v>493962000000</v>
      </c>
      <c r="J25" s="9">
        <v>491232000000</v>
      </c>
      <c r="K25" s="9">
        <v>491232000000</v>
      </c>
      <c r="L25" s="9">
        <v>487677000000</v>
      </c>
      <c r="M25" s="9">
        <v>185117000000</v>
      </c>
      <c r="N25" s="9">
        <v>185117000000</v>
      </c>
      <c r="O25" s="9">
        <v>185117000000</v>
      </c>
      <c r="P25" s="9">
        <v>185117000000</v>
      </c>
      <c r="Q25" s="9">
        <v>185117000000</v>
      </c>
      <c r="R25" s="9">
        <v>185117000000</v>
      </c>
      <c r="S25" s="9">
        <v>185117000000</v>
      </c>
      <c r="T25" s="9">
        <v>185117000000</v>
      </c>
      <c r="U25" s="9">
        <v>185117000000</v>
      </c>
      <c r="V25" s="9">
        <v>185117000000</v>
      </c>
      <c r="W25" s="9">
        <v>166421000000</v>
      </c>
      <c r="X25" s="9">
        <v>166421000000</v>
      </c>
      <c r="Y25" s="9">
        <v>144421000000</v>
      </c>
      <c r="Z25" s="9">
        <v>163921000000</v>
      </c>
      <c r="AA25" s="9">
        <v>163921000000</v>
      </c>
      <c r="AB25" s="9">
        <v>163921000000</v>
      </c>
      <c r="AC25" s="9">
        <v>163921000000</v>
      </c>
      <c r="AD25" s="9">
        <v>163921000000</v>
      </c>
      <c r="AE25" s="9">
        <v>163921000000</v>
      </c>
      <c r="AF25" s="9">
        <v>163921000000</v>
      </c>
      <c r="AG25" s="9">
        <v>163921000000</v>
      </c>
      <c r="AH25" s="9">
        <v>163921000000</v>
      </c>
      <c r="AI25" s="9">
        <v>149546000000</v>
      </c>
      <c r="AJ25" s="9">
        <v>149546000000</v>
      </c>
      <c r="AK25" s="9">
        <v>146546000000</v>
      </c>
      <c r="AL25" s="9">
        <v>134666000000</v>
      </c>
      <c r="AM25" s="9">
        <v>125666000000</v>
      </c>
      <c r="AN25" s="9">
        <v>125666000000</v>
      </c>
      <c r="AO25" s="9">
        <v>125667000000</v>
      </c>
      <c r="AP25" s="9">
        <v>125667000000</v>
      </c>
      <c r="AQ25" s="9">
        <v>125667000000</v>
      </c>
    </row>
    <row r="26" spans="1:43" x14ac:dyDescent="0.25">
      <c r="A26" s="8" t="s">
        <v>24</v>
      </c>
      <c r="B26" s="9">
        <v>-111074000000</v>
      </c>
      <c r="C26" s="9">
        <v>-111913000000</v>
      </c>
      <c r="D26" s="9">
        <v>-111913000000</v>
      </c>
      <c r="E26" s="9">
        <v>-111539000000</v>
      </c>
      <c r="F26" s="9">
        <v>-111539000000</v>
      </c>
      <c r="G26" s="9">
        <v>-113231000000</v>
      </c>
      <c r="H26" s="9">
        <v>-113231000000</v>
      </c>
      <c r="I26" s="9">
        <v>-111850000000</v>
      </c>
      <c r="J26" s="9">
        <v>-111850000000</v>
      </c>
      <c r="K26" s="9">
        <v>-111950000000</v>
      </c>
      <c r="L26" s="9">
        <v>-111950000000</v>
      </c>
      <c r="M26" s="9">
        <v>-20186000000</v>
      </c>
      <c r="N26" s="9">
        <v>-20186000000</v>
      </c>
      <c r="O26" s="9">
        <v>-18296000000</v>
      </c>
      <c r="P26" s="9">
        <v>-18296000000</v>
      </c>
      <c r="Q26" s="9">
        <v>-18296000000</v>
      </c>
      <c r="R26" s="9">
        <v>-24067000000</v>
      </c>
      <c r="S26" s="9">
        <v>-30230000000</v>
      </c>
      <c r="T26" s="9">
        <v>-30230000000</v>
      </c>
      <c r="U26" s="9">
        <v>-31481000000</v>
      </c>
      <c r="V26" s="9">
        <v>-31481000000</v>
      </c>
      <c r="W26" s="9">
        <v>-23418000000</v>
      </c>
      <c r="X26" s="9">
        <v>-23418000000</v>
      </c>
      <c r="Y26" s="9">
        <v>-20590000000</v>
      </c>
      <c r="Z26" s="9">
        <v>-20590000000</v>
      </c>
      <c r="AA26" s="9">
        <v>-20101000000</v>
      </c>
      <c r="AB26" s="9">
        <v>-20101000000</v>
      </c>
      <c r="AC26" s="9">
        <v>-19898000000</v>
      </c>
      <c r="AD26" s="9">
        <v>-19898000000</v>
      </c>
      <c r="AE26" s="9">
        <v>-20063000000</v>
      </c>
      <c r="AF26" s="9">
        <v>-20063000000</v>
      </c>
      <c r="AG26" s="9">
        <v>-20140000000</v>
      </c>
      <c r="AH26" s="9">
        <v>-20140000000</v>
      </c>
      <c r="AI26" s="9">
        <v>-17959000000</v>
      </c>
      <c r="AJ26" s="9">
        <v>-17959000000</v>
      </c>
      <c r="AK26" s="9">
        <v>-15082000000</v>
      </c>
      <c r="AL26" s="9">
        <v>-18502000000</v>
      </c>
      <c r="AM26" s="9">
        <v>-7542000000</v>
      </c>
      <c r="AN26" s="9">
        <v>-7542000000</v>
      </c>
      <c r="AO26" s="9">
        <v>-7857000000</v>
      </c>
      <c r="AP26" s="9">
        <v>-8173000000</v>
      </c>
      <c r="AQ26" s="9">
        <v>-7975000000</v>
      </c>
    </row>
    <row r="27" spans="1:43" x14ac:dyDescent="0.25">
      <c r="A27" s="7" t="s">
        <v>25</v>
      </c>
      <c r="B27" s="6">
        <v>779806000000</v>
      </c>
      <c r="C27" s="6">
        <v>752724000000</v>
      </c>
      <c r="D27" s="6">
        <v>767947000000</v>
      </c>
      <c r="E27" s="6">
        <v>1351960000000</v>
      </c>
      <c r="F27" s="6">
        <v>1336057000000</v>
      </c>
      <c r="G27" s="6">
        <v>1315165000000</v>
      </c>
      <c r="H27" s="6">
        <v>1305254000000</v>
      </c>
      <c r="I27" s="6">
        <v>1526618000000</v>
      </c>
      <c r="J27" s="6">
        <v>1522636000000</v>
      </c>
      <c r="K27" s="6">
        <v>1508844000000</v>
      </c>
      <c r="L27" s="6">
        <v>1511330000000</v>
      </c>
      <c r="M27" s="6">
        <v>1615456000000</v>
      </c>
      <c r="N27" s="6">
        <v>1607734000000</v>
      </c>
      <c r="O27" s="6">
        <v>858226000000</v>
      </c>
      <c r="P27" s="6">
        <v>859406000000</v>
      </c>
      <c r="Q27" s="6">
        <v>903561000000</v>
      </c>
      <c r="R27" s="6">
        <v>901646000000</v>
      </c>
      <c r="S27" s="6">
        <v>940810000000</v>
      </c>
      <c r="T27" s="6">
        <v>1008126000000</v>
      </c>
      <c r="U27" s="6">
        <v>1059428000000</v>
      </c>
      <c r="V27" s="6">
        <v>1198085000000</v>
      </c>
      <c r="W27" s="6">
        <v>1179213000000</v>
      </c>
      <c r="X27" s="6">
        <v>1175974000000</v>
      </c>
      <c r="Y27" s="6">
        <v>1366325000000</v>
      </c>
      <c r="Z27" s="6">
        <v>1318816000000</v>
      </c>
      <c r="AA27" s="6">
        <v>1294275000000</v>
      </c>
      <c r="AB27" s="6">
        <v>1303783000000</v>
      </c>
      <c r="AC27" s="6">
        <v>1315057000000</v>
      </c>
      <c r="AD27" s="6">
        <v>1292178000000</v>
      </c>
      <c r="AE27" s="6">
        <v>1307970000000</v>
      </c>
      <c r="AF27" s="6">
        <v>1326266000000</v>
      </c>
      <c r="AG27" s="6">
        <v>1422759000000</v>
      </c>
      <c r="AH27" s="6">
        <v>1493213000000</v>
      </c>
      <c r="AI27" s="6">
        <v>1542886000000</v>
      </c>
      <c r="AJ27" s="6">
        <v>1669306000000</v>
      </c>
      <c r="AK27" s="6">
        <v>1765927000000</v>
      </c>
      <c r="AL27" s="6">
        <v>1748509000000</v>
      </c>
      <c r="AM27" s="6">
        <v>1756858000000</v>
      </c>
      <c r="AN27" s="6">
        <v>1756018000000</v>
      </c>
      <c r="AO27" s="6">
        <v>1860436000000</v>
      </c>
      <c r="AP27" s="6">
        <v>1856769000000</v>
      </c>
      <c r="AQ27" s="6">
        <v>1853104000000</v>
      </c>
    </row>
    <row r="28" spans="1:43" x14ac:dyDescent="0.25">
      <c r="A28" s="11" t="s">
        <v>26</v>
      </c>
      <c r="B28" s="9">
        <v>507620000000</v>
      </c>
      <c r="C28" s="9">
        <v>486269000000</v>
      </c>
      <c r="D28" s="9">
        <v>479131000000</v>
      </c>
      <c r="E28" s="9">
        <v>524984000000</v>
      </c>
      <c r="F28" s="9">
        <v>504978000000</v>
      </c>
      <c r="G28" s="9">
        <v>487161000000</v>
      </c>
      <c r="H28" s="9">
        <v>482209000000</v>
      </c>
      <c r="I28" s="9">
        <v>526448000000</v>
      </c>
      <c r="J28" s="9">
        <v>525242000000</v>
      </c>
      <c r="K28" s="9">
        <v>511185000000</v>
      </c>
      <c r="L28" s="9">
        <v>506913000000</v>
      </c>
      <c r="M28" s="9">
        <v>569227000000</v>
      </c>
      <c r="N28" s="9">
        <v>564302000000</v>
      </c>
      <c r="O28" s="9">
        <v>490153000000</v>
      </c>
      <c r="P28" s="9">
        <v>492663000000</v>
      </c>
      <c r="Q28" s="9">
        <v>532147000000</v>
      </c>
      <c r="R28" s="9">
        <v>529520000000</v>
      </c>
      <c r="S28" s="9">
        <v>539196000000</v>
      </c>
      <c r="T28" s="9">
        <v>591131000000</v>
      </c>
      <c r="U28" s="9">
        <v>601398000000</v>
      </c>
      <c r="V28" s="9">
        <v>604856000000</v>
      </c>
      <c r="W28" s="9">
        <v>596011000000</v>
      </c>
      <c r="X28" s="9">
        <v>579736000000</v>
      </c>
      <c r="Y28" s="9">
        <v>663478000000</v>
      </c>
      <c r="Z28" s="9">
        <v>640621000000</v>
      </c>
      <c r="AA28" s="9">
        <v>624601000000</v>
      </c>
      <c r="AB28" s="9">
        <v>632761000000</v>
      </c>
      <c r="AC28" s="9">
        <v>631621000000</v>
      </c>
      <c r="AD28" s="9">
        <v>617503000000</v>
      </c>
      <c r="AE28" s="9">
        <v>637441000000</v>
      </c>
      <c r="AF28" s="9">
        <v>652896000000</v>
      </c>
      <c r="AG28" s="9">
        <v>713141000000</v>
      </c>
      <c r="AH28" s="9">
        <v>729332000000</v>
      </c>
      <c r="AI28" s="9">
        <v>785388000000</v>
      </c>
      <c r="AJ28" s="9">
        <v>811751000000</v>
      </c>
      <c r="AK28" s="9">
        <v>887455000000</v>
      </c>
      <c r="AL28" s="9">
        <v>865919000000</v>
      </c>
      <c r="AM28" s="9">
        <v>889163000000</v>
      </c>
      <c r="AN28" s="9">
        <v>883151000000</v>
      </c>
      <c r="AO28" s="9">
        <v>973157000000</v>
      </c>
      <c r="AP28" s="9">
        <v>992531000000</v>
      </c>
      <c r="AQ28" s="9">
        <v>973352000000</v>
      </c>
    </row>
    <row r="29" spans="1:43" x14ac:dyDescent="0.25">
      <c r="A29" s="12" t="s">
        <v>27</v>
      </c>
      <c r="B29" s="9">
        <v>923256000000</v>
      </c>
      <c r="C29" s="9">
        <v>925118000000</v>
      </c>
      <c r="D29" s="9">
        <v>940873000000</v>
      </c>
      <c r="E29" s="9">
        <v>1003485000000</v>
      </c>
      <c r="F29" s="9">
        <v>1005280000000</v>
      </c>
      <c r="G29" s="9">
        <v>1008283000000</v>
      </c>
      <c r="H29" s="9">
        <v>1022693000000</v>
      </c>
      <c r="I29" s="9">
        <v>1078472000000</v>
      </c>
      <c r="J29" s="9">
        <v>1093463000000</v>
      </c>
      <c r="K29" s="9">
        <v>1098466000000</v>
      </c>
      <c r="L29" s="9">
        <v>1103294000000</v>
      </c>
      <c r="M29" s="9">
        <v>1171919000000</v>
      </c>
      <c r="N29" s="9">
        <v>1184638000000</v>
      </c>
      <c r="O29" s="9">
        <v>1108666000000</v>
      </c>
      <c r="P29" s="9">
        <v>1124492000000</v>
      </c>
      <c r="Q29" s="9">
        <v>1179231000000</v>
      </c>
      <c r="R29" s="9">
        <v>1195499000000</v>
      </c>
      <c r="S29" s="9">
        <v>1224477000000</v>
      </c>
      <c r="T29" s="9">
        <v>1293089000000</v>
      </c>
      <c r="U29" s="9">
        <v>1318875000000</v>
      </c>
      <c r="V29" s="9">
        <v>1344603000000</v>
      </c>
      <c r="W29" s="9">
        <v>1360248000000</v>
      </c>
      <c r="X29" s="9">
        <v>1367537000000</v>
      </c>
      <c r="Y29" s="9">
        <v>1475070000000</v>
      </c>
      <c r="Z29" s="9">
        <v>1475909000000</v>
      </c>
      <c r="AA29" s="9">
        <v>1476015000000</v>
      </c>
      <c r="AB29" s="9">
        <v>1509736000000</v>
      </c>
      <c r="AC29" s="9">
        <v>1519411000000</v>
      </c>
      <c r="AD29" s="9">
        <v>1524634000000</v>
      </c>
      <c r="AE29" s="9">
        <v>1570950000000</v>
      </c>
      <c r="AF29" s="9">
        <v>1613425000000</v>
      </c>
      <c r="AG29" s="9">
        <v>1702786000000</v>
      </c>
      <c r="AH29" s="9">
        <v>1750408000000</v>
      </c>
      <c r="AI29" s="9">
        <v>1817298000000</v>
      </c>
      <c r="AJ29" s="9">
        <v>1879950000000</v>
      </c>
      <c r="AK29" s="9">
        <v>1983500000000</v>
      </c>
      <c r="AL29" s="9">
        <v>1997780000000</v>
      </c>
      <c r="AM29" s="9">
        <v>2057742000000</v>
      </c>
      <c r="AN29" s="9">
        <v>2059462000000</v>
      </c>
      <c r="AO29" s="9">
        <v>2169180000000</v>
      </c>
      <c r="AP29" s="9">
        <v>2218524000000</v>
      </c>
      <c r="AQ29" s="9">
        <v>2252441000000</v>
      </c>
    </row>
    <row r="30" spans="1:43" x14ac:dyDescent="0.25">
      <c r="A30" s="12" t="s">
        <v>28</v>
      </c>
      <c r="B30" s="9">
        <v>-415636000000</v>
      </c>
      <c r="C30" s="9">
        <v>-438849000000</v>
      </c>
      <c r="D30" s="9">
        <v>-461742000000</v>
      </c>
      <c r="E30" s="9">
        <v>-478501000000</v>
      </c>
      <c r="F30" s="9">
        <v>-500302000000</v>
      </c>
      <c r="G30" s="9">
        <v>-521122000000</v>
      </c>
      <c r="H30" s="9">
        <v>-540484000000</v>
      </c>
      <c r="I30" s="9">
        <v>-552024000000</v>
      </c>
      <c r="J30" s="9">
        <v>-568221000000</v>
      </c>
      <c r="K30" s="9">
        <v>-587281000000</v>
      </c>
      <c r="L30" s="9">
        <v>-596381000000</v>
      </c>
      <c r="M30" s="9">
        <v>-602692000000</v>
      </c>
      <c r="N30" s="9">
        <v>-620336000000</v>
      </c>
      <c r="O30" s="9">
        <v>-618513000000</v>
      </c>
      <c r="P30" s="9">
        <v>-631829000000</v>
      </c>
      <c r="Q30" s="9">
        <v>-647084000000</v>
      </c>
      <c r="R30" s="9">
        <v>-665979000000</v>
      </c>
      <c r="S30" s="9">
        <v>-685281000000</v>
      </c>
      <c r="T30" s="9">
        <v>-701958000000</v>
      </c>
      <c r="U30" s="9">
        <v>-717477000000</v>
      </c>
      <c r="V30" s="9">
        <v>-739747000000</v>
      </c>
      <c r="W30" s="9">
        <v>-764237000000</v>
      </c>
      <c r="X30" s="9">
        <v>-787801000000</v>
      </c>
      <c r="Y30" s="9">
        <v>-811592000000</v>
      </c>
      <c r="Z30" s="9">
        <v>-835288000000</v>
      </c>
      <c r="AA30" s="9">
        <v>-851414000000</v>
      </c>
      <c r="AB30" s="9">
        <v>-876975000000</v>
      </c>
      <c r="AC30" s="9">
        <v>-887790000000</v>
      </c>
      <c r="AD30" s="9">
        <v>-907131000000</v>
      </c>
      <c r="AE30" s="9">
        <v>-933509000000</v>
      </c>
      <c r="AF30" s="9">
        <v>-960529000000</v>
      </c>
      <c r="AG30" s="9">
        <v>-989645000000</v>
      </c>
      <c r="AH30" s="9">
        <v>-1021076000000</v>
      </c>
      <c r="AI30" s="9">
        <v>-1031910000000</v>
      </c>
      <c r="AJ30" s="9">
        <v>-1068199000000</v>
      </c>
      <c r="AK30" s="9">
        <v>-1096045000000</v>
      </c>
      <c r="AL30" s="9">
        <v>-1131861000000</v>
      </c>
      <c r="AM30" s="9">
        <v>-1168579000000</v>
      </c>
      <c r="AN30" s="9">
        <v>-1176311000000</v>
      </c>
      <c r="AO30" s="9">
        <v>-1196023000000</v>
      </c>
      <c r="AP30" s="9">
        <v>-1225993000000</v>
      </c>
      <c r="AQ30" s="9">
        <v>-1279089000000</v>
      </c>
    </row>
    <row r="31" spans="1:43" x14ac:dyDescent="0.25">
      <c r="A31" s="11" t="s">
        <v>29</v>
      </c>
      <c r="B31" s="10">
        <v>0</v>
      </c>
      <c r="C31" s="10">
        <v>0</v>
      </c>
      <c r="D31" s="10">
        <v>0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10">
        <v>0</v>
      </c>
      <c r="L31" s="10">
        <v>0</v>
      </c>
      <c r="M31" s="10">
        <v>0</v>
      </c>
      <c r="N31" s="10">
        <v>0</v>
      </c>
      <c r="O31" s="9">
        <v>0</v>
      </c>
      <c r="P31" s="9">
        <v>0</v>
      </c>
      <c r="Q31" s="9">
        <v>0</v>
      </c>
      <c r="R31" s="9">
        <v>0</v>
      </c>
      <c r="S31" s="9">
        <v>0</v>
      </c>
      <c r="T31" s="9">
        <v>0</v>
      </c>
      <c r="U31" s="10">
        <v>0</v>
      </c>
      <c r="V31" s="10">
        <v>0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0</v>
      </c>
      <c r="AD31" s="10">
        <v>0</v>
      </c>
      <c r="AE31" s="10">
        <v>0</v>
      </c>
      <c r="AF31" s="10">
        <v>0</v>
      </c>
      <c r="AG31" s="10">
        <v>0</v>
      </c>
      <c r="AH31" s="10">
        <v>0</v>
      </c>
      <c r="AI31" s="10">
        <v>0</v>
      </c>
      <c r="AJ31" s="10">
        <v>0</v>
      </c>
      <c r="AK31" s="10">
        <v>0</v>
      </c>
      <c r="AL31" s="10">
        <v>0</v>
      </c>
      <c r="AM31" s="10">
        <v>0</v>
      </c>
      <c r="AN31" s="10">
        <v>0</v>
      </c>
      <c r="AO31" s="10">
        <v>0</v>
      </c>
      <c r="AP31" s="10">
        <v>0</v>
      </c>
      <c r="AQ31" s="10">
        <v>0</v>
      </c>
    </row>
    <row r="32" spans="1:43" x14ac:dyDescent="0.25">
      <c r="A32" s="12" t="s">
        <v>27</v>
      </c>
      <c r="B32" s="10">
        <v>0</v>
      </c>
      <c r="C32" s="10">
        <v>0</v>
      </c>
      <c r="D32" s="10">
        <v>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0</v>
      </c>
      <c r="M32" s="10">
        <v>0</v>
      </c>
      <c r="N32" s="10">
        <v>0</v>
      </c>
      <c r="O32" s="9">
        <v>0</v>
      </c>
      <c r="P32" s="9">
        <v>0</v>
      </c>
      <c r="Q32" s="9">
        <v>0</v>
      </c>
      <c r="R32" s="9">
        <v>0</v>
      </c>
      <c r="S32" s="9">
        <v>0</v>
      </c>
      <c r="T32" s="9">
        <v>0</v>
      </c>
      <c r="U32" s="10">
        <v>0</v>
      </c>
      <c r="V32" s="10">
        <v>0</v>
      </c>
      <c r="W32" s="10">
        <v>0</v>
      </c>
      <c r="X32" s="10">
        <v>0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0</v>
      </c>
      <c r="AE32" s="10">
        <v>0</v>
      </c>
      <c r="AF32" s="10">
        <v>0</v>
      </c>
      <c r="AG32" s="10">
        <v>0</v>
      </c>
      <c r="AH32" s="10">
        <v>0</v>
      </c>
      <c r="AI32" s="10">
        <v>0</v>
      </c>
      <c r="AJ32" s="10">
        <v>0</v>
      </c>
      <c r="AK32" s="10">
        <v>0</v>
      </c>
      <c r="AL32" s="10">
        <v>0</v>
      </c>
      <c r="AM32" s="10">
        <v>0</v>
      </c>
      <c r="AN32" s="10">
        <v>0</v>
      </c>
      <c r="AO32" s="10">
        <v>0</v>
      </c>
      <c r="AP32" s="10">
        <v>0</v>
      </c>
      <c r="AQ32" s="10">
        <v>0</v>
      </c>
    </row>
    <row r="33" spans="1:43" x14ac:dyDescent="0.25">
      <c r="A33" s="12" t="s">
        <v>28</v>
      </c>
      <c r="B33" s="10">
        <v>0</v>
      </c>
      <c r="C33" s="10">
        <v>0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v>0</v>
      </c>
      <c r="K33" s="10">
        <v>0</v>
      </c>
      <c r="L33" s="10">
        <v>0</v>
      </c>
      <c r="M33" s="10">
        <v>0</v>
      </c>
      <c r="N33" s="10">
        <v>0</v>
      </c>
      <c r="O33" s="9">
        <v>0</v>
      </c>
      <c r="P33" s="9">
        <v>0</v>
      </c>
      <c r="Q33" s="9">
        <v>0</v>
      </c>
      <c r="R33" s="9">
        <v>0</v>
      </c>
      <c r="S33" s="9">
        <v>0</v>
      </c>
      <c r="T33" s="9">
        <v>0</v>
      </c>
      <c r="U33" s="10">
        <v>0</v>
      </c>
      <c r="V33" s="10">
        <v>0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>
        <v>0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</row>
    <row r="34" spans="1:43" x14ac:dyDescent="0.25">
      <c r="A34" s="11" t="s">
        <v>30</v>
      </c>
      <c r="B34" s="9">
        <v>272186000000</v>
      </c>
      <c r="C34" s="9">
        <v>266455000000</v>
      </c>
      <c r="D34" s="9">
        <v>288816000000</v>
      </c>
      <c r="E34" s="9">
        <v>826976000000</v>
      </c>
      <c r="F34" s="9">
        <v>831079000000</v>
      </c>
      <c r="G34" s="9">
        <v>828004000000</v>
      </c>
      <c r="H34" s="9">
        <v>823045000000</v>
      </c>
      <c r="I34" s="9">
        <v>1000170000000</v>
      </c>
      <c r="J34" s="9">
        <v>997394000000</v>
      </c>
      <c r="K34" s="9">
        <v>997659000000</v>
      </c>
      <c r="L34" s="9">
        <v>1004417000000</v>
      </c>
      <c r="M34" s="9">
        <v>1046229000000</v>
      </c>
      <c r="N34" s="9">
        <v>1043432000000</v>
      </c>
      <c r="O34" s="9">
        <v>368073000000</v>
      </c>
      <c r="P34" s="9">
        <v>366743000000</v>
      </c>
      <c r="Q34" s="9">
        <v>371414000000</v>
      </c>
      <c r="R34" s="9">
        <v>372126000000</v>
      </c>
      <c r="S34" s="9">
        <v>401614000000</v>
      </c>
      <c r="T34" s="9">
        <v>416995000000</v>
      </c>
      <c r="U34" s="9">
        <v>458030000000</v>
      </c>
      <c r="V34" s="9">
        <v>593229000000</v>
      </c>
      <c r="W34" s="9">
        <v>583202000000</v>
      </c>
      <c r="X34" s="9">
        <v>596238000000</v>
      </c>
      <c r="Y34" s="9">
        <v>702847000000</v>
      </c>
      <c r="Z34" s="9">
        <v>678195000000</v>
      </c>
      <c r="AA34" s="9">
        <v>669674000000</v>
      </c>
      <c r="AB34" s="9">
        <v>671022000000</v>
      </c>
      <c r="AC34" s="9">
        <v>683436000000</v>
      </c>
      <c r="AD34" s="9">
        <v>674675000000</v>
      </c>
      <c r="AE34" s="9">
        <v>670529000000</v>
      </c>
      <c r="AF34" s="9">
        <v>673370000000</v>
      </c>
      <c r="AG34" s="9">
        <v>709618000000</v>
      </c>
      <c r="AH34" s="9">
        <v>763881000000</v>
      </c>
      <c r="AI34" s="9">
        <v>757498000000</v>
      </c>
      <c r="AJ34" s="9">
        <v>857555000000</v>
      </c>
      <c r="AK34" s="9">
        <v>878472000000</v>
      </c>
      <c r="AL34" s="9">
        <v>882590000000</v>
      </c>
      <c r="AM34" s="9">
        <v>867695000000</v>
      </c>
      <c r="AN34" s="9">
        <v>872867000000</v>
      </c>
      <c r="AO34" s="9">
        <v>887279000000</v>
      </c>
      <c r="AP34" s="9">
        <v>864238000000</v>
      </c>
      <c r="AQ34" s="9">
        <v>879752000000</v>
      </c>
    </row>
    <row r="35" spans="1:43" x14ac:dyDescent="0.25">
      <c r="A35" s="12" t="s">
        <v>27</v>
      </c>
      <c r="B35" s="9">
        <v>416331000000</v>
      </c>
      <c r="C35" s="9">
        <v>416544000000</v>
      </c>
      <c r="D35" s="9">
        <v>444477000000</v>
      </c>
      <c r="E35" s="9">
        <v>987948000000</v>
      </c>
      <c r="F35" s="9">
        <v>997730000000</v>
      </c>
      <c r="G35" s="9">
        <v>1000122000000</v>
      </c>
      <c r="H35" s="9">
        <v>1000121000000</v>
      </c>
      <c r="I35" s="9">
        <v>1181235000000</v>
      </c>
      <c r="J35" s="9">
        <v>1182025000000</v>
      </c>
      <c r="K35" s="9">
        <v>1185780000000</v>
      </c>
      <c r="L35" s="9">
        <v>1195775000000</v>
      </c>
      <c r="M35" s="9">
        <v>1240443000000</v>
      </c>
      <c r="N35" s="9">
        <v>1240443000000</v>
      </c>
      <c r="O35" s="9">
        <v>567474000000</v>
      </c>
      <c r="P35" s="9">
        <v>568687000000</v>
      </c>
      <c r="Q35" s="9">
        <v>575871000000</v>
      </c>
      <c r="R35" s="9">
        <v>579418000000</v>
      </c>
      <c r="S35" s="9">
        <v>614010000000</v>
      </c>
      <c r="T35" s="9">
        <v>636839000000</v>
      </c>
      <c r="U35" s="9">
        <v>686263000000</v>
      </c>
      <c r="V35" s="9">
        <v>832993000000</v>
      </c>
      <c r="W35" s="9">
        <v>834627000000</v>
      </c>
      <c r="X35" s="9">
        <v>859331000000</v>
      </c>
      <c r="Y35" s="9">
        <v>977488000000</v>
      </c>
      <c r="Z35" s="9">
        <v>964575000000</v>
      </c>
      <c r="AA35" s="9">
        <v>967645000000</v>
      </c>
      <c r="AB35" s="9">
        <v>981086000000</v>
      </c>
      <c r="AC35" s="9">
        <v>1006273000000</v>
      </c>
      <c r="AD35" s="9">
        <v>1009969000000</v>
      </c>
      <c r="AE35" s="9">
        <v>1016505000000</v>
      </c>
      <c r="AF35" s="9">
        <v>1028685000000</v>
      </c>
      <c r="AG35" s="9">
        <v>1076187000000</v>
      </c>
      <c r="AH35" s="9">
        <v>1139947000000</v>
      </c>
      <c r="AI35" s="9">
        <v>1143428000000</v>
      </c>
      <c r="AJ35" s="9">
        <v>1259274000000</v>
      </c>
      <c r="AK35" s="9">
        <v>1291428000000</v>
      </c>
      <c r="AL35" s="9">
        <v>1316125000000</v>
      </c>
      <c r="AM35" s="9">
        <v>1323598000000</v>
      </c>
      <c r="AN35" s="9">
        <v>1352025000000</v>
      </c>
      <c r="AO35" s="9">
        <v>1392388000000</v>
      </c>
      <c r="AP35" s="9">
        <v>1395969000000</v>
      </c>
      <c r="AQ35" s="9">
        <v>1463958000000</v>
      </c>
    </row>
    <row r="36" spans="1:43" x14ac:dyDescent="0.25">
      <c r="A36" s="12" t="s">
        <v>28</v>
      </c>
      <c r="B36" s="9">
        <v>-144145000000</v>
      </c>
      <c r="C36" s="9">
        <v>-150089000000</v>
      </c>
      <c r="D36" s="9">
        <v>-155661000000</v>
      </c>
      <c r="E36" s="9">
        <v>-160972000000</v>
      </c>
      <c r="F36" s="9">
        <v>-166651000000</v>
      </c>
      <c r="G36" s="9">
        <v>-172118000000</v>
      </c>
      <c r="H36" s="9">
        <v>-177076000000</v>
      </c>
      <c r="I36" s="9">
        <v>-181065000000</v>
      </c>
      <c r="J36" s="9">
        <v>-184631000000</v>
      </c>
      <c r="K36" s="9">
        <v>-188121000000</v>
      </c>
      <c r="L36" s="9">
        <v>-191358000000</v>
      </c>
      <c r="M36" s="9">
        <v>-194214000000</v>
      </c>
      <c r="N36" s="9">
        <v>-197011000000</v>
      </c>
      <c r="O36" s="9">
        <v>-199401000000</v>
      </c>
      <c r="P36" s="9">
        <v>-201944000000</v>
      </c>
      <c r="Q36" s="9">
        <v>-204457000000</v>
      </c>
      <c r="R36" s="9">
        <v>-207292000000</v>
      </c>
      <c r="S36" s="9">
        <v>-212396000000</v>
      </c>
      <c r="T36" s="9">
        <v>-219844000000</v>
      </c>
      <c r="U36" s="9">
        <v>-228233000000</v>
      </c>
      <c r="V36" s="9">
        <v>-239764000000</v>
      </c>
      <c r="W36" s="9">
        <v>-251425000000</v>
      </c>
      <c r="X36" s="9">
        <v>-263093000000</v>
      </c>
      <c r="Y36" s="9">
        <v>-274641000000</v>
      </c>
      <c r="Z36" s="9">
        <v>-286380000000</v>
      </c>
      <c r="AA36" s="9">
        <v>-297971000000</v>
      </c>
      <c r="AB36" s="9">
        <v>-310064000000</v>
      </c>
      <c r="AC36" s="9">
        <v>-322837000000</v>
      </c>
      <c r="AD36" s="9">
        <v>-335294000000</v>
      </c>
      <c r="AE36" s="9">
        <v>-345976000000</v>
      </c>
      <c r="AF36" s="9">
        <v>-355315000000</v>
      </c>
      <c r="AG36" s="9">
        <v>-366569000000</v>
      </c>
      <c r="AH36" s="9">
        <v>-376066000000</v>
      </c>
      <c r="AI36" s="9">
        <v>-385930000000</v>
      </c>
      <c r="AJ36" s="9">
        <v>-401719000000</v>
      </c>
      <c r="AK36" s="9">
        <v>-412956000000</v>
      </c>
      <c r="AL36" s="9">
        <v>-433535000000</v>
      </c>
      <c r="AM36" s="9">
        <v>-455903000000</v>
      </c>
      <c r="AN36" s="9">
        <v>-479158000000</v>
      </c>
      <c r="AO36" s="9">
        <v>-505109000000</v>
      </c>
      <c r="AP36" s="9">
        <v>-531731000000</v>
      </c>
      <c r="AQ36" s="9">
        <v>-584206000000</v>
      </c>
    </row>
    <row r="37" spans="1:43" x14ac:dyDescent="0.25">
      <c r="A37" s="8" t="s">
        <v>31</v>
      </c>
      <c r="B37" s="10">
        <v>0</v>
      </c>
      <c r="C37" s="10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0</v>
      </c>
      <c r="K37" s="10">
        <v>0</v>
      </c>
      <c r="L37" s="10">
        <v>0</v>
      </c>
      <c r="M37" s="10">
        <v>0</v>
      </c>
      <c r="N37" s="10">
        <v>0</v>
      </c>
      <c r="O37" s="9">
        <v>0</v>
      </c>
      <c r="P37" s="9">
        <v>0</v>
      </c>
      <c r="Q37" s="9">
        <v>0</v>
      </c>
      <c r="R37" s="9">
        <v>0</v>
      </c>
      <c r="S37" s="9">
        <v>0</v>
      </c>
      <c r="T37" s="9">
        <v>0</v>
      </c>
      <c r="U37" s="10">
        <v>0</v>
      </c>
      <c r="V37" s="10">
        <v>0</v>
      </c>
      <c r="W37" s="10">
        <v>0</v>
      </c>
      <c r="X37" s="10">
        <v>0</v>
      </c>
      <c r="Y37" s="10">
        <v>0</v>
      </c>
      <c r="Z37" s="10">
        <v>0</v>
      </c>
      <c r="AA37" s="10">
        <v>0</v>
      </c>
      <c r="AB37" s="10">
        <v>0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10">
        <v>0</v>
      </c>
      <c r="AI37" s="10">
        <v>0</v>
      </c>
      <c r="AJ37" s="10">
        <v>0</v>
      </c>
      <c r="AK37" s="10">
        <v>0</v>
      </c>
      <c r="AL37" s="10">
        <v>0</v>
      </c>
      <c r="AM37" s="10">
        <v>0</v>
      </c>
      <c r="AN37" s="10">
        <v>0</v>
      </c>
      <c r="AO37" s="10">
        <v>0</v>
      </c>
      <c r="AP37" s="10">
        <v>0</v>
      </c>
      <c r="AQ37" s="10">
        <v>0</v>
      </c>
    </row>
    <row r="38" spans="1:43" x14ac:dyDescent="0.25">
      <c r="A38" s="7" t="s">
        <v>32</v>
      </c>
      <c r="B38" s="6">
        <v>62487000000</v>
      </c>
      <c r="C38" s="6">
        <v>62413000000</v>
      </c>
      <c r="D38" s="6">
        <v>73662000000</v>
      </c>
      <c r="E38" s="6">
        <v>88381000000</v>
      </c>
      <c r="F38" s="6">
        <v>89585000000</v>
      </c>
      <c r="G38" s="6">
        <v>58444000000</v>
      </c>
      <c r="H38" s="6">
        <v>58412000000</v>
      </c>
      <c r="I38" s="6">
        <v>45769000000</v>
      </c>
      <c r="J38" s="6">
        <v>52048000000</v>
      </c>
      <c r="K38" s="6">
        <v>52016000000</v>
      </c>
      <c r="L38" s="6">
        <v>51985000000</v>
      </c>
      <c r="M38" s="6">
        <v>51955000000</v>
      </c>
      <c r="N38" s="6">
        <v>51923000000</v>
      </c>
      <c r="O38" s="6">
        <v>51892000000</v>
      </c>
      <c r="P38" s="6">
        <v>44108000000</v>
      </c>
      <c r="Q38" s="6">
        <v>44098000000</v>
      </c>
      <c r="R38" s="6">
        <v>44083000000</v>
      </c>
      <c r="S38" s="6">
        <v>44068000000</v>
      </c>
      <c r="T38" s="6">
        <v>35425000000</v>
      </c>
      <c r="U38" s="6">
        <v>20860000000</v>
      </c>
      <c r="V38" s="6">
        <v>20847000000</v>
      </c>
      <c r="W38" s="6">
        <v>20835000000</v>
      </c>
      <c r="X38" s="6">
        <v>20823000000</v>
      </c>
      <c r="Y38" s="4">
        <v>0</v>
      </c>
      <c r="Z38" s="4">
        <v>0</v>
      </c>
      <c r="AA38" s="4">
        <v>0</v>
      </c>
      <c r="AB38" s="4">
        <v>0</v>
      </c>
      <c r="AC38" s="4">
        <v>0</v>
      </c>
      <c r="AD38" s="4">
        <v>0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</row>
    <row r="39" spans="1:43" x14ac:dyDescent="0.25">
      <c r="A39" s="8" t="s">
        <v>27</v>
      </c>
      <c r="B39" s="9">
        <v>62690000000</v>
      </c>
      <c r="C39" s="9">
        <v>62690000000</v>
      </c>
      <c r="D39" s="9">
        <v>74014000000</v>
      </c>
      <c r="E39" s="9">
        <v>88765000000</v>
      </c>
      <c r="F39" s="9">
        <v>90053000000</v>
      </c>
      <c r="G39" s="9">
        <v>58649000000</v>
      </c>
      <c r="H39" s="9">
        <v>58649000000</v>
      </c>
      <c r="I39" s="9">
        <v>46037000000</v>
      </c>
      <c r="J39" s="9">
        <v>52347000000</v>
      </c>
      <c r="K39" s="9">
        <v>52346000000</v>
      </c>
      <c r="L39" s="9">
        <v>52346000000</v>
      </c>
      <c r="M39" s="9">
        <v>52347000000</v>
      </c>
      <c r="N39" s="9">
        <v>52347000000</v>
      </c>
      <c r="O39" s="9">
        <v>52347000000</v>
      </c>
      <c r="P39" s="9">
        <v>44295000000</v>
      </c>
      <c r="Q39" s="9">
        <v>44295000000</v>
      </c>
      <c r="R39" s="9">
        <v>44295000000</v>
      </c>
      <c r="S39" s="9">
        <v>44295000000</v>
      </c>
      <c r="T39" s="9">
        <v>35667000000</v>
      </c>
      <c r="U39" s="9">
        <v>21058000000</v>
      </c>
      <c r="V39" s="9">
        <v>21058000000</v>
      </c>
      <c r="W39" s="9">
        <v>21058000000</v>
      </c>
      <c r="X39" s="9">
        <v>21058000000</v>
      </c>
      <c r="Y39" s="10">
        <v>0</v>
      </c>
      <c r="Z39" s="10">
        <v>0</v>
      </c>
      <c r="AA39" s="10">
        <v>0</v>
      </c>
      <c r="AB39" s="10">
        <v>0</v>
      </c>
      <c r="AC39" s="10">
        <v>0</v>
      </c>
      <c r="AD39" s="10">
        <v>0</v>
      </c>
      <c r="AE39" s="10">
        <v>0</v>
      </c>
      <c r="AF39" s="10">
        <v>0</v>
      </c>
      <c r="AG39" s="10">
        <v>0</v>
      </c>
      <c r="AH39" s="10">
        <v>0</v>
      </c>
      <c r="AI39" s="10">
        <v>0</v>
      </c>
      <c r="AJ39" s="10">
        <v>0</v>
      </c>
      <c r="AK39" s="10">
        <v>0</v>
      </c>
      <c r="AL39" s="10">
        <v>0</v>
      </c>
      <c r="AM39" s="10">
        <v>0</v>
      </c>
      <c r="AN39" s="10">
        <v>0</v>
      </c>
      <c r="AO39" s="10">
        <v>0</v>
      </c>
      <c r="AP39" s="10">
        <v>0</v>
      </c>
      <c r="AQ39" s="10">
        <v>0</v>
      </c>
    </row>
    <row r="40" spans="1:43" x14ac:dyDescent="0.25">
      <c r="A40" s="8" t="s">
        <v>28</v>
      </c>
      <c r="B40" s="10">
        <v>-203000000</v>
      </c>
      <c r="C40" s="10">
        <v>-277000000</v>
      </c>
      <c r="D40" s="10">
        <v>-352000000</v>
      </c>
      <c r="E40" s="10">
        <v>-384000000</v>
      </c>
      <c r="F40" s="10">
        <v>-468000000</v>
      </c>
      <c r="G40" s="10">
        <v>-205000000</v>
      </c>
      <c r="H40" s="10">
        <v>-237000000</v>
      </c>
      <c r="I40" s="10">
        <v>-268000000</v>
      </c>
      <c r="J40" s="10">
        <v>-299000000</v>
      </c>
      <c r="K40" s="10">
        <v>-330000000</v>
      </c>
      <c r="L40" s="10">
        <v>-361000000</v>
      </c>
      <c r="M40" s="10">
        <v>-392000000</v>
      </c>
      <c r="N40" s="10">
        <v>-424000000</v>
      </c>
      <c r="O40" s="10">
        <v>-455000000</v>
      </c>
      <c r="P40" s="10">
        <v>-187000000</v>
      </c>
      <c r="Q40" s="10">
        <v>-197000000</v>
      </c>
      <c r="R40" s="10">
        <v>-212000000</v>
      </c>
      <c r="S40" s="10">
        <v>-227000000</v>
      </c>
      <c r="T40" s="10">
        <v>-242000000</v>
      </c>
      <c r="U40" s="10">
        <v>-198000000</v>
      </c>
      <c r="V40" s="10">
        <v>-211000000</v>
      </c>
      <c r="W40" s="10">
        <v>-223000000</v>
      </c>
      <c r="X40" s="10">
        <v>-235000000</v>
      </c>
      <c r="Y40" s="10">
        <v>0</v>
      </c>
      <c r="Z40" s="10">
        <v>0</v>
      </c>
      <c r="AA40" s="10">
        <v>0</v>
      </c>
      <c r="AB40" s="10">
        <v>0</v>
      </c>
      <c r="AC40" s="10">
        <v>0</v>
      </c>
      <c r="AD40" s="10">
        <v>0</v>
      </c>
      <c r="AE40" s="10">
        <v>0</v>
      </c>
      <c r="AF40" s="10">
        <v>0</v>
      </c>
      <c r="AG40" s="10">
        <v>0</v>
      </c>
      <c r="AH40" s="10">
        <v>0</v>
      </c>
      <c r="AI40" s="10">
        <v>0</v>
      </c>
      <c r="AJ40" s="10">
        <v>0</v>
      </c>
      <c r="AK40" s="10">
        <v>0</v>
      </c>
      <c r="AL40" s="10">
        <v>0</v>
      </c>
      <c r="AM40" s="10">
        <v>0</v>
      </c>
      <c r="AN40" s="10">
        <v>0</v>
      </c>
      <c r="AO40" s="10">
        <v>0</v>
      </c>
      <c r="AP40" s="10">
        <v>0</v>
      </c>
      <c r="AQ40" s="10">
        <v>0</v>
      </c>
    </row>
    <row r="41" spans="1:43" x14ac:dyDescent="0.25">
      <c r="A41" s="7" t="s">
        <v>33</v>
      </c>
      <c r="B41" s="6">
        <v>10929605000000</v>
      </c>
      <c r="C41" s="6">
        <v>10142750000000</v>
      </c>
      <c r="D41" s="6">
        <v>10835048000000</v>
      </c>
      <c r="E41" s="6">
        <v>9896674000000</v>
      </c>
      <c r="F41" s="6">
        <v>9724047000000</v>
      </c>
      <c r="G41" s="6">
        <v>9376969000000</v>
      </c>
      <c r="H41" s="6">
        <v>9567878000000</v>
      </c>
      <c r="I41" s="6">
        <v>8255840000000</v>
      </c>
      <c r="J41" s="6">
        <v>7881811000000</v>
      </c>
      <c r="K41" s="6">
        <v>6665872000000</v>
      </c>
      <c r="L41" s="6">
        <v>7274905000000</v>
      </c>
      <c r="M41" s="6">
        <v>7075965000000</v>
      </c>
      <c r="N41" s="6">
        <v>7390815000000</v>
      </c>
      <c r="O41" s="6">
        <v>8990427000000</v>
      </c>
      <c r="P41" s="6">
        <v>7693859000000</v>
      </c>
      <c r="Q41" s="6">
        <v>11804784000000</v>
      </c>
      <c r="R41" s="6">
        <v>11862609000000</v>
      </c>
      <c r="S41" s="6">
        <v>10963917000000</v>
      </c>
      <c r="T41" s="6">
        <v>11835405000000</v>
      </c>
      <c r="U41" s="6">
        <v>15934468000000</v>
      </c>
      <c r="V41" s="6">
        <v>15824549000000</v>
      </c>
      <c r="W41" s="6">
        <v>18213053000000</v>
      </c>
      <c r="X41" s="6">
        <v>20657719000000</v>
      </c>
      <c r="Y41" s="6">
        <v>25414855000000</v>
      </c>
      <c r="Z41" s="6">
        <v>24768150000000</v>
      </c>
      <c r="AA41" s="6">
        <v>30156110000000</v>
      </c>
      <c r="AB41" s="6">
        <v>32378998000000</v>
      </c>
      <c r="AC41" s="6">
        <v>40128470000000</v>
      </c>
      <c r="AD41" s="6">
        <v>40843864000000</v>
      </c>
      <c r="AE41" s="6">
        <v>41892578000000</v>
      </c>
      <c r="AF41" s="6">
        <v>55852169000000</v>
      </c>
      <c r="AG41" s="6">
        <v>57808636000000</v>
      </c>
      <c r="AH41" s="6">
        <v>60700854000000</v>
      </c>
      <c r="AI41" s="6">
        <v>61679516000000</v>
      </c>
      <c r="AJ41" s="6">
        <v>52268933000000</v>
      </c>
      <c r="AK41" s="6">
        <v>55958160000000</v>
      </c>
      <c r="AL41" s="6">
        <v>55509696000000</v>
      </c>
      <c r="AM41" s="6">
        <v>59356226000000</v>
      </c>
      <c r="AN41" s="6">
        <v>50380433000000</v>
      </c>
      <c r="AO41" s="6">
        <v>63424364000000</v>
      </c>
      <c r="AP41" s="6">
        <v>60214370000000</v>
      </c>
      <c r="AQ41" s="6">
        <v>73760098000000</v>
      </c>
    </row>
    <row r="42" spans="1:43" x14ac:dyDescent="0.25">
      <c r="A42" s="8" t="s">
        <v>34</v>
      </c>
      <c r="B42" s="9">
        <v>6616537000000</v>
      </c>
      <c r="C42" s="9">
        <v>6057966000000</v>
      </c>
      <c r="D42" s="9">
        <v>6496840000000</v>
      </c>
      <c r="E42" s="9">
        <v>5290387000000</v>
      </c>
      <c r="F42" s="9">
        <v>5285238000000</v>
      </c>
      <c r="G42" s="9">
        <v>4868298000000</v>
      </c>
      <c r="H42" s="9">
        <v>4715281000000</v>
      </c>
      <c r="I42" s="9">
        <v>3423647000000</v>
      </c>
      <c r="J42" s="9">
        <v>2725615000000</v>
      </c>
      <c r="K42" s="9">
        <v>2100239000000</v>
      </c>
      <c r="L42" s="9">
        <v>2451166000000</v>
      </c>
      <c r="M42" s="9">
        <v>2024124000000</v>
      </c>
      <c r="N42" s="9">
        <v>2231453000000</v>
      </c>
      <c r="O42" s="9">
        <v>3900224000000</v>
      </c>
      <c r="P42" s="9">
        <v>2830343000000</v>
      </c>
      <c r="Q42" s="9">
        <v>6719990000000</v>
      </c>
      <c r="R42" s="9">
        <v>6497695000000</v>
      </c>
      <c r="S42" s="9">
        <v>6063584000000</v>
      </c>
      <c r="T42" s="9">
        <v>7038528000000</v>
      </c>
      <c r="U42" s="9">
        <v>10864443000000</v>
      </c>
      <c r="V42" s="9">
        <v>10475245000000</v>
      </c>
      <c r="W42" s="9">
        <v>12606066000000</v>
      </c>
      <c r="X42" s="9">
        <v>15453115000000</v>
      </c>
      <c r="Y42" s="9">
        <v>20234815000000</v>
      </c>
      <c r="Z42" s="9">
        <v>19285746000000</v>
      </c>
      <c r="AA42" s="9">
        <v>24098012000000</v>
      </c>
      <c r="AB42" s="9">
        <v>26129638000000</v>
      </c>
      <c r="AC42" s="9">
        <v>33406609000000</v>
      </c>
      <c r="AD42" s="9">
        <v>33290341000000</v>
      </c>
      <c r="AE42" s="9">
        <v>34204669000000</v>
      </c>
      <c r="AF42" s="9">
        <v>48282546000000</v>
      </c>
      <c r="AG42" s="9">
        <v>49527933000000</v>
      </c>
      <c r="AH42" s="9">
        <v>51746520000000</v>
      </c>
      <c r="AI42" s="9">
        <v>52319155000000</v>
      </c>
      <c r="AJ42" s="9">
        <v>43608103000000</v>
      </c>
      <c r="AK42" s="9">
        <v>48393565000000</v>
      </c>
      <c r="AL42" s="9">
        <v>46900361000000</v>
      </c>
      <c r="AM42" s="9">
        <v>50120428000000</v>
      </c>
      <c r="AN42" s="9">
        <v>37644088000000</v>
      </c>
      <c r="AO42" s="9">
        <v>22318435000000</v>
      </c>
      <c r="AP42" s="9">
        <v>18957542000000</v>
      </c>
      <c r="AQ42" s="9">
        <v>26455638000000</v>
      </c>
    </row>
    <row r="43" spans="1:43" x14ac:dyDescent="0.25">
      <c r="A43" s="8" t="s">
        <v>35</v>
      </c>
      <c r="B43" s="9">
        <v>2296604000000</v>
      </c>
      <c r="C43" s="9">
        <v>2653004000000</v>
      </c>
      <c r="D43" s="9">
        <v>2895746000000</v>
      </c>
      <c r="E43" s="9">
        <v>3113887000000</v>
      </c>
      <c r="F43" s="9">
        <v>2960464000000</v>
      </c>
      <c r="G43" s="9">
        <v>3019485000000</v>
      </c>
      <c r="H43" s="9">
        <v>3426672000000</v>
      </c>
      <c r="I43" s="9">
        <v>3416359000000</v>
      </c>
      <c r="J43" s="9">
        <v>3719304000000</v>
      </c>
      <c r="K43" s="9">
        <v>3114064000000</v>
      </c>
      <c r="L43" s="9">
        <v>3345292000000</v>
      </c>
      <c r="M43" s="9">
        <v>3519215000000</v>
      </c>
      <c r="N43" s="9">
        <v>3568368000000</v>
      </c>
      <c r="O43" s="9">
        <v>3551518000000</v>
      </c>
      <c r="P43" s="9">
        <v>3314583000000</v>
      </c>
      <c r="Q43" s="9">
        <v>3197572000000</v>
      </c>
      <c r="R43" s="9">
        <v>3400174000000</v>
      </c>
      <c r="S43" s="9">
        <v>2946670000000</v>
      </c>
      <c r="T43" s="9">
        <v>2883715000000</v>
      </c>
      <c r="U43" s="9">
        <v>3090539000000</v>
      </c>
      <c r="V43" s="9">
        <v>3383654000000</v>
      </c>
      <c r="W43" s="9">
        <v>3601918000000</v>
      </c>
      <c r="X43" s="9">
        <v>3403365000000</v>
      </c>
      <c r="Y43" s="9">
        <v>3256425000000</v>
      </c>
      <c r="Z43" s="9">
        <v>3486228000000</v>
      </c>
      <c r="AA43" s="9">
        <v>4006661000000</v>
      </c>
      <c r="AB43" s="9">
        <v>4141516000000</v>
      </c>
      <c r="AC43" s="9">
        <v>4403501000000</v>
      </c>
      <c r="AD43" s="9">
        <v>5298156000000</v>
      </c>
      <c r="AE43" s="9">
        <v>5479680000000</v>
      </c>
      <c r="AF43" s="9">
        <v>5353605000000</v>
      </c>
      <c r="AG43" s="9">
        <v>6017101000000</v>
      </c>
      <c r="AH43" s="9">
        <v>6801229000000</v>
      </c>
      <c r="AI43" s="9">
        <v>7223915000000</v>
      </c>
      <c r="AJ43" s="9">
        <v>6496509000000</v>
      </c>
      <c r="AK43" s="9">
        <v>5304263000000</v>
      </c>
      <c r="AL43" s="9">
        <v>6320278000000</v>
      </c>
      <c r="AM43" s="9">
        <v>6970426000000</v>
      </c>
      <c r="AN43" s="9">
        <v>6919127000000</v>
      </c>
      <c r="AO43" s="9">
        <v>6221116000000</v>
      </c>
      <c r="AP43" s="9">
        <v>8448340000000</v>
      </c>
      <c r="AQ43" s="9">
        <v>8746086000000</v>
      </c>
    </row>
    <row r="44" spans="1:43" x14ac:dyDescent="0.25">
      <c r="A44" s="8" t="s">
        <v>36</v>
      </c>
      <c r="B44" s="9">
        <v>23636000000</v>
      </c>
      <c r="C44" s="9">
        <v>23636000000</v>
      </c>
      <c r="D44" s="9">
        <v>23636000000</v>
      </c>
      <c r="E44" s="9">
        <v>17311000000</v>
      </c>
      <c r="F44" s="9">
        <v>17311000000</v>
      </c>
      <c r="G44" s="9">
        <v>17311000000</v>
      </c>
      <c r="H44" s="9">
        <v>17311000000</v>
      </c>
      <c r="I44" s="9">
        <v>21238000000</v>
      </c>
      <c r="J44" s="9">
        <v>21238000000</v>
      </c>
      <c r="K44" s="9">
        <v>21238000000</v>
      </c>
      <c r="L44" s="9">
        <v>21238000000</v>
      </c>
      <c r="M44" s="10">
        <v>0</v>
      </c>
      <c r="N44" s="10">
        <v>0</v>
      </c>
      <c r="O44" s="10">
        <v>0</v>
      </c>
      <c r="P44" s="10">
        <v>0</v>
      </c>
      <c r="Q44" s="9">
        <v>2413000000</v>
      </c>
      <c r="R44" s="9">
        <v>2413000000</v>
      </c>
      <c r="S44" s="9">
        <v>3013000000</v>
      </c>
      <c r="T44" s="9">
        <v>3013000000</v>
      </c>
      <c r="U44" s="10">
        <v>0</v>
      </c>
      <c r="V44" s="10">
        <v>0</v>
      </c>
      <c r="W44" s="10">
        <v>0</v>
      </c>
      <c r="X44" s="10">
        <v>0</v>
      </c>
      <c r="Y44" s="10">
        <v>0</v>
      </c>
      <c r="Z44" s="10">
        <v>0</v>
      </c>
      <c r="AA44" s="10">
        <v>0</v>
      </c>
      <c r="AB44" s="10">
        <v>0</v>
      </c>
      <c r="AC44" s="9">
        <v>32798000000</v>
      </c>
      <c r="AD44" s="9">
        <v>32798000000</v>
      </c>
      <c r="AE44" s="9">
        <v>32798000000</v>
      </c>
      <c r="AF44" s="9">
        <v>32798000000</v>
      </c>
      <c r="AG44" s="9">
        <v>76708000000</v>
      </c>
      <c r="AH44" s="9">
        <v>70441000000</v>
      </c>
      <c r="AI44" s="9">
        <v>64755000000</v>
      </c>
      <c r="AJ44" s="9">
        <v>77851000000</v>
      </c>
      <c r="AK44" s="9">
        <v>72470000000</v>
      </c>
      <c r="AL44" s="9">
        <v>104691000000</v>
      </c>
      <c r="AM44" s="9">
        <v>83309000000</v>
      </c>
      <c r="AN44" s="9">
        <v>60417000000</v>
      </c>
      <c r="AO44" s="9">
        <v>72726000000</v>
      </c>
      <c r="AP44" s="9">
        <v>99533000000</v>
      </c>
      <c r="AQ44" s="9">
        <v>96456000000</v>
      </c>
    </row>
    <row r="45" spans="1:43" x14ac:dyDescent="0.25">
      <c r="A45" s="11" t="s">
        <v>37</v>
      </c>
      <c r="B45" s="9">
        <v>2035867000000</v>
      </c>
      <c r="C45" s="9">
        <v>1449636000000</v>
      </c>
      <c r="D45" s="9">
        <v>1457815000000</v>
      </c>
      <c r="E45" s="9">
        <v>1510547000000</v>
      </c>
      <c r="F45" s="9">
        <v>1496492000000</v>
      </c>
      <c r="G45" s="9">
        <v>1506902000000</v>
      </c>
      <c r="H45" s="9">
        <v>1479521000000</v>
      </c>
      <c r="I45" s="9">
        <v>1455477000000</v>
      </c>
      <c r="J45" s="9">
        <v>1476628000000</v>
      </c>
      <c r="K45" s="9">
        <v>1467852000000</v>
      </c>
      <c r="L45" s="9">
        <v>1496530000000</v>
      </c>
      <c r="M45" s="9">
        <v>1571947000000</v>
      </c>
      <c r="N45" s="9">
        <v>1630315000000</v>
      </c>
      <c r="O45" s="9">
        <v>1575175000000</v>
      </c>
      <c r="P45" s="9">
        <v>1585423000000</v>
      </c>
      <c r="Q45" s="9">
        <v>1924402000000</v>
      </c>
      <c r="R45" s="9">
        <v>2001920000000</v>
      </c>
      <c r="S45" s="9">
        <v>1990366000000</v>
      </c>
      <c r="T45" s="9">
        <v>1949865000000</v>
      </c>
      <c r="U45" s="9">
        <v>2019202000000</v>
      </c>
      <c r="V45" s="9">
        <v>2005366000000</v>
      </c>
      <c r="W45" s="9">
        <v>2047343000000</v>
      </c>
      <c r="X45" s="9">
        <v>1843513000000</v>
      </c>
      <c r="Y45" s="9">
        <v>1966875000000</v>
      </c>
      <c r="Z45" s="9">
        <v>2039436000000</v>
      </c>
      <c r="AA45" s="9">
        <v>2096223000000</v>
      </c>
      <c r="AB45" s="9">
        <v>2152630000000</v>
      </c>
      <c r="AC45" s="9">
        <v>2331870000000</v>
      </c>
      <c r="AD45" s="9">
        <v>2268877000000</v>
      </c>
      <c r="AE45" s="9">
        <v>2221680000000</v>
      </c>
      <c r="AF45" s="9">
        <v>2229469000000</v>
      </c>
      <c r="AG45" s="9">
        <v>2233415000000</v>
      </c>
      <c r="AH45" s="9">
        <v>2129185000000</v>
      </c>
      <c r="AI45" s="9">
        <v>2118270000000</v>
      </c>
      <c r="AJ45" s="9">
        <v>2133049000000</v>
      </c>
      <c r="AK45" s="9">
        <v>2234788000000</v>
      </c>
      <c r="AL45" s="9">
        <v>2231292000000</v>
      </c>
      <c r="AM45" s="9">
        <v>2229162000000</v>
      </c>
      <c r="AN45" s="9">
        <v>5809943000000</v>
      </c>
      <c r="AO45" s="9">
        <v>34866302000000</v>
      </c>
      <c r="AP45" s="9">
        <v>32763872000000</v>
      </c>
      <c r="AQ45" s="9">
        <v>38601618000000</v>
      </c>
    </row>
    <row r="46" spans="1:43" x14ac:dyDescent="0.25">
      <c r="A46" s="12" t="s">
        <v>38</v>
      </c>
      <c r="B46" s="9">
        <v>43699000000</v>
      </c>
      <c r="C46" s="9">
        <v>42259000000</v>
      </c>
      <c r="D46" s="9">
        <v>40818000000</v>
      </c>
      <c r="E46" s="9">
        <v>39377000000</v>
      </c>
      <c r="F46" s="9">
        <v>37937000000</v>
      </c>
      <c r="G46" s="9">
        <v>36496000000</v>
      </c>
      <c r="H46" s="9">
        <v>35055000000</v>
      </c>
      <c r="I46" s="9">
        <v>33615000000</v>
      </c>
      <c r="J46" s="9">
        <v>32174000000</v>
      </c>
      <c r="K46" s="9">
        <v>30734000000</v>
      </c>
      <c r="L46" s="9">
        <v>29293000000</v>
      </c>
      <c r="M46" s="9">
        <v>27852000000</v>
      </c>
      <c r="N46" s="9">
        <v>26412000000</v>
      </c>
      <c r="O46" s="9">
        <v>24971000000</v>
      </c>
      <c r="P46" s="9">
        <v>23530000000</v>
      </c>
      <c r="Q46" s="9">
        <v>22090000000</v>
      </c>
      <c r="R46" s="9">
        <v>20649000000</v>
      </c>
      <c r="S46" s="9">
        <v>19208000000</v>
      </c>
      <c r="T46" s="9">
        <v>17768000000</v>
      </c>
      <c r="U46" s="9">
        <v>16327000000</v>
      </c>
      <c r="V46" s="9">
        <v>14887000000</v>
      </c>
      <c r="W46" s="9">
        <v>13446000000</v>
      </c>
      <c r="X46" s="9">
        <v>12005000000</v>
      </c>
      <c r="Y46" s="9">
        <v>10565000000</v>
      </c>
      <c r="Z46" s="9">
        <v>9124000000</v>
      </c>
      <c r="AA46" s="9">
        <v>7683000000</v>
      </c>
      <c r="AB46" s="9">
        <v>6243000000</v>
      </c>
      <c r="AC46" s="9">
        <v>4799000000</v>
      </c>
      <c r="AD46" s="9">
        <v>3358000000</v>
      </c>
      <c r="AE46" s="9">
        <v>1918000000</v>
      </c>
      <c r="AF46" s="10">
        <v>477000000</v>
      </c>
      <c r="AG46" s="10">
        <v>0</v>
      </c>
      <c r="AH46" s="10">
        <v>0</v>
      </c>
      <c r="AI46" s="10">
        <v>0</v>
      </c>
      <c r="AJ46" s="10">
        <v>0</v>
      </c>
      <c r="AK46" s="10">
        <v>0</v>
      </c>
      <c r="AL46" s="10">
        <v>0</v>
      </c>
      <c r="AM46" s="10">
        <v>0</v>
      </c>
      <c r="AN46" s="10">
        <v>0</v>
      </c>
      <c r="AO46" s="10">
        <v>0</v>
      </c>
      <c r="AP46" s="10">
        <v>0</v>
      </c>
      <c r="AQ46" s="9">
        <v>6320312000000</v>
      </c>
    </row>
    <row r="47" spans="1:43" x14ac:dyDescent="0.25">
      <c r="A47" s="8" t="s">
        <v>39</v>
      </c>
      <c r="B47" s="9">
        <v>-43039000000</v>
      </c>
      <c r="C47" s="9">
        <v>-41492000000</v>
      </c>
      <c r="D47" s="9">
        <v>-38989000000</v>
      </c>
      <c r="E47" s="9">
        <v>-35458000000</v>
      </c>
      <c r="F47" s="9">
        <v>-35458000000</v>
      </c>
      <c r="G47" s="9">
        <v>-35027000000</v>
      </c>
      <c r="H47" s="9">
        <v>-70907000000</v>
      </c>
      <c r="I47" s="9">
        <v>-60881000000</v>
      </c>
      <c r="J47" s="9">
        <v>-60974000000</v>
      </c>
      <c r="K47" s="9">
        <v>-37521000000</v>
      </c>
      <c r="L47" s="9">
        <v>-39321000000</v>
      </c>
      <c r="M47" s="9">
        <v>-39321000000</v>
      </c>
      <c r="N47" s="9">
        <v>-39321000000</v>
      </c>
      <c r="O47" s="9">
        <v>-36490000000</v>
      </c>
      <c r="P47" s="9">
        <v>-36490000000</v>
      </c>
      <c r="Q47" s="9">
        <v>-39593000000</v>
      </c>
      <c r="R47" s="9">
        <v>-39593000000</v>
      </c>
      <c r="S47" s="9">
        <v>-39716000000</v>
      </c>
      <c r="T47" s="9">
        <v>-39716000000</v>
      </c>
      <c r="U47" s="9">
        <v>-39716000000</v>
      </c>
      <c r="V47" s="9">
        <v>-39716000000</v>
      </c>
      <c r="W47" s="9">
        <v>-42274000000</v>
      </c>
      <c r="X47" s="9">
        <v>-42274000000</v>
      </c>
      <c r="Y47" s="9">
        <v>-43260000000</v>
      </c>
      <c r="Z47" s="9">
        <v>-43260000000</v>
      </c>
      <c r="AA47" s="9">
        <v>-44786000000</v>
      </c>
      <c r="AB47" s="9">
        <v>-44786000000</v>
      </c>
      <c r="AC47" s="9">
        <v>-46308000000</v>
      </c>
      <c r="AD47" s="9">
        <v>-46308000000</v>
      </c>
      <c r="AE47" s="9">
        <v>-46249000000</v>
      </c>
      <c r="AF47" s="9">
        <v>-46249000000</v>
      </c>
      <c r="AG47" s="9">
        <v>-46521000000</v>
      </c>
      <c r="AH47" s="9">
        <v>-46521000000</v>
      </c>
      <c r="AI47" s="9">
        <v>-46579000000</v>
      </c>
      <c r="AJ47" s="9">
        <v>-46579000000</v>
      </c>
      <c r="AK47" s="9">
        <v>-46926000000</v>
      </c>
      <c r="AL47" s="9">
        <v>-46926000000</v>
      </c>
      <c r="AM47" s="9">
        <v>-47099000000</v>
      </c>
      <c r="AN47" s="9">
        <v>-53142000000</v>
      </c>
      <c r="AO47" s="9">
        <v>-54215000000</v>
      </c>
      <c r="AP47" s="9">
        <v>-54917000000</v>
      </c>
      <c r="AQ47" s="9">
        <v>-139700000000</v>
      </c>
    </row>
    <row r="48" spans="1:43" x14ac:dyDescent="0.25">
      <c r="A48" s="3" t="s">
        <v>40</v>
      </c>
      <c r="B48" s="6">
        <v>118950018000000</v>
      </c>
      <c r="C48" s="6">
        <v>128983966000000</v>
      </c>
      <c r="D48" s="6">
        <v>138872460000000</v>
      </c>
      <c r="E48" s="6">
        <v>150294272000000</v>
      </c>
      <c r="F48" s="6">
        <v>163349249000000</v>
      </c>
      <c r="G48" s="6">
        <v>169528338000000</v>
      </c>
      <c r="H48" s="6">
        <v>174594270000000</v>
      </c>
      <c r="I48" s="6">
        <v>189334259000000</v>
      </c>
      <c r="J48" s="6">
        <v>190374307000000</v>
      </c>
      <c r="K48" s="6">
        <v>191293246000000</v>
      </c>
      <c r="L48" s="6">
        <v>199380170000000</v>
      </c>
      <c r="M48" s="6">
        <v>216107406000000</v>
      </c>
      <c r="N48" s="6">
        <v>202562505000000</v>
      </c>
      <c r="O48" s="6">
        <v>210291471000000</v>
      </c>
      <c r="P48" s="6">
        <v>217245156000000</v>
      </c>
      <c r="Q48" s="6">
        <v>229477262000000</v>
      </c>
      <c r="R48" s="6">
        <v>231773724000000</v>
      </c>
      <c r="S48" s="6">
        <v>242445051000000</v>
      </c>
      <c r="T48" s="6">
        <v>273289529000000</v>
      </c>
      <c r="U48" s="6">
        <v>319127257000000</v>
      </c>
      <c r="V48" s="6">
        <v>325821442000000</v>
      </c>
      <c r="W48" s="6">
        <v>330969917000000</v>
      </c>
      <c r="X48" s="6">
        <v>346355019000000</v>
      </c>
      <c r="Y48" s="6">
        <v>374611571000000</v>
      </c>
      <c r="Z48" s="6">
        <v>381046023000000</v>
      </c>
      <c r="AA48" s="6">
        <v>384266740000000</v>
      </c>
      <c r="AB48" s="6">
        <v>399152573000000</v>
      </c>
      <c r="AC48" s="6">
        <v>416273023000000</v>
      </c>
      <c r="AD48" s="6">
        <v>458802678000000</v>
      </c>
      <c r="AE48" s="6">
        <v>483935823000000</v>
      </c>
      <c r="AF48" s="6">
        <v>508263253000000</v>
      </c>
      <c r="AG48" s="6">
        <v>602314859000000</v>
      </c>
      <c r="AH48" s="6">
        <v>602551570000000</v>
      </c>
      <c r="AI48" s="6">
        <v>624443499000000</v>
      </c>
      <c r="AJ48" s="6">
        <v>629569112000000</v>
      </c>
      <c r="AK48" s="6">
        <v>697280806000000</v>
      </c>
      <c r="AL48" s="6">
        <v>711310758000000</v>
      </c>
      <c r="AM48" s="6">
        <v>784096287000000</v>
      </c>
      <c r="AN48" s="6">
        <v>781937368000000</v>
      </c>
      <c r="AO48" s="6">
        <v>931101281000000</v>
      </c>
      <c r="AP48" s="6">
        <v>984216210000000</v>
      </c>
      <c r="AQ48" s="6">
        <v>1043891774000000</v>
      </c>
    </row>
    <row r="49" spans="1:43" x14ac:dyDescent="0.25">
      <c r="A49" s="5" t="s">
        <v>41</v>
      </c>
      <c r="B49" s="6">
        <v>261470000000</v>
      </c>
      <c r="C49" s="6">
        <v>221763000000</v>
      </c>
      <c r="D49" s="6">
        <v>192596000000</v>
      </c>
      <c r="E49" s="6">
        <v>177635000000</v>
      </c>
      <c r="F49" s="6">
        <v>2050776000000</v>
      </c>
      <c r="G49" s="6">
        <v>153157000000</v>
      </c>
      <c r="H49" s="6">
        <v>152470000000</v>
      </c>
      <c r="I49" s="6">
        <v>156253000000</v>
      </c>
      <c r="J49" s="6">
        <v>127488000000</v>
      </c>
      <c r="K49" s="6">
        <v>131179000000</v>
      </c>
      <c r="L49" s="6">
        <v>2151945000000</v>
      </c>
      <c r="M49" s="6">
        <v>7911883000000</v>
      </c>
      <c r="N49" s="6">
        <v>2180507000000</v>
      </c>
      <c r="O49" s="6">
        <v>2167416000000</v>
      </c>
      <c r="P49" s="6">
        <v>2205063000000</v>
      </c>
      <c r="Q49" s="6">
        <v>209151000000</v>
      </c>
      <c r="R49" s="6">
        <v>602990000000</v>
      </c>
      <c r="S49" s="6">
        <v>181767000000</v>
      </c>
      <c r="T49" s="6">
        <v>159657000000</v>
      </c>
      <c r="U49" s="6">
        <v>142771000000</v>
      </c>
      <c r="V49" s="6">
        <v>130009000000</v>
      </c>
      <c r="W49" s="6">
        <v>117309000000</v>
      </c>
      <c r="X49" s="6">
        <v>104874000000</v>
      </c>
      <c r="Y49" s="6">
        <v>92656000000</v>
      </c>
      <c r="Z49" s="6">
        <v>81615000000</v>
      </c>
      <c r="AA49" s="6">
        <v>69414000000</v>
      </c>
      <c r="AB49" s="6">
        <v>58565000000</v>
      </c>
      <c r="AC49" s="6">
        <v>10821258000000</v>
      </c>
      <c r="AD49" s="6">
        <v>36079000000</v>
      </c>
      <c r="AE49" s="6">
        <v>30124000000</v>
      </c>
      <c r="AF49" s="6">
        <v>29829000000</v>
      </c>
      <c r="AG49" s="6">
        <v>26590000000</v>
      </c>
      <c r="AH49" s="6">
        <v>20159000000</v>
      </c>
      <c r="AI49" s="6">
        <v>20978000000</v>
      </c>
      <c r="AJ49" s="6">
        <v>17920000000</v>
      </c>
      <c r="AK49" s="6">
        <v>15434000000</v>
      </c>
      <c r="AL49" s="6">
        <v>27856000000</v>
      </c>
      <c r="AM49" s="6">
        <v>9952000000</v>
      </c>
      <c r="AN49" s="6">
        <v>9992000000</v>
      </c>
      <c r="AO49" s="6">
        <v>11425972000000</v>
      </c>
      <c r="AP49" s="6">
        <v>8253000000</v>
      </c>
      <c r="AQ49" s="6">
        <v>5214000000</v>
      </c>
    </row>
    <row r="50" spans="1:43" x14ac:dyDescent="0.25">
      <c r="A50" s="7" t="s">
        <v>42</v>
      </c>
      <c r="B50" s="6">
        <v>8095321000000</v>
      </c>
      <c r="C50" s="6">
        <v>11741011000000</v>
      </c>
      <c r="D50" s="6">
        <v>14160842000000</v>
      </c>
      <c r="E50" s="6">
        <v>19684665000000</v>
      </c>
      <c r="F50" s="6">
        <v>20074349000000</v>
      </c>
      <c r="G50" s="6">
        <v>25107077000000</v>
      </c>
      <c r="H50" s="6">
        <v>27568310000000</v>
      </c>
      <c r="I50" s="6">
        <v>37217378000000</v>
      </c>
      <c r="J50" s="6">
        <v>41010855000000</v>
      </c>
      <c r="K50" s="6">
        <v>26372072000000</v>
      </c>
      <c r="L50" s="6">
        <v>29656727000000</v>
      </c>
      <c r="M50" s="6">
        <v>40689261000000</v>
      </c>
      <c r="N50" s="6">
        <v>34233100000000</v>
      </c>
      <c r="O50" s="6">
        <v>33921883000000</v>
      </c>
      <c r="P50" s="6">
        <v>42943712000000</v>
      </c>
      <c r="Q50" s="6">
        <v>45977699000000</v>
      </c>
      <c r="R50" s="6">
        <v>43244856000000</v>
      </c>
      <c r="S50" s="6">
        <v>32358700000000</v>
      </c>
      <c r="T50" s="6">
        <v>41769606000000</v>
      </c>
      <c r="U50" s="6">
        <v>75175573000000</v>
      </c>
      <c r="V50" s="6">
        <v>69869067000000</v>
      </c>
      <c r="W50" s="6">
        <v>60258786000000</v>
      </c>
      <c r="X50" s="6">
        <v>81351880000000</v>
      </c>
      <c r="Y50" s="6">
        <v>107242582000000</v>
      </c>
      <c r="Z50" s="6">
        <v>93473766000000</v>
      </c>
      <c r="AA50" s="6">
        <v>86186983000000</v>
      </c>
      <c r="AB50" s="6">
        <v>99636997000000</v>
      </c>
      <c r="AC50" s="6">
        <v>92653200000000</v>
      </c>
      <c r="AD50" s="6">
        <v>97327589000000</v>
      </c>
      <c r="AE50" s="6">
        <v>62766342000000</v>
      </c>
      <c r="AF50" s="6">
        <v>51537699000000</v>
      </c>
      <c r="AG50" s="6">
        <v>112086978000000</v>
      </c>
      <c r="AH50" s="6">
        <v>107009010000000</v>
      </c>
      <c r="AI50" s="6">
        <v>118687414000000</v>
      </c>
      <c r="AJ50" s="6">
        <v>92302927000000</v>
      </c>
      <c r="AK50" s="6">
        <v>99460579000000</v>
      </c>
      <c r="AL50" s="6">
        <v>73678438000000</v>
      </c>
      <c r="AM50" s="6">
        <v>99269338000000</v>
      </c>
      <c r="AN50" s="6">
        <v>130268141000000</v>
      </c>
      <c r="AO50" s="6">
        <v>169207295000000</v>
      </c>
      <c r="AP50" s="6">
        <v>152777088000000</v>
      </c>
      <c r="AQ50" s="6">
        <v>148377911000000</v>
      </c>
    </row>
    <row r="51" spans="1:43" x14ac:dyDescent="0.25">
      <c r="A51" s="8" t="s">
        <v>43</v>
      </c>
      <c r="B51" s="9">
        <v>4560343000000</v>
      </c>
      <c r="C51" s="9">
        <v>7577790000000</v>
      </c>
      <c r="D51" s="9">
        <v>9263662000000</v>
      </c>
      <c r="E51" s="9">
        <v>13621415000000</v>
      </c>
      <c r="F51" s="9">
        <v>14413792000000</v>
      </c>
      <c r="G51" s="9">
        <v>17593161000000</v>
      </c>
      <c r="H51" s="9">
        <v>9843179000000</v>
      </c>
      <c r="I51" s="9">
        <v>12244362000000</v>
      </c>
      <c r="J51" s="9">
        <v>21815737000000</v>
      </c>
      <c r="K51" s="9">
        <v>15644989000000</v>
      </c>
      <c r="L51" s="9">
        <v>13812239000000</v>
      </c>
      <c r="M51" s="9">
        <v>22837748000000</v>
      </c>
      <c r="N51" s="9">
        <v>19308664000000</v>
      </c>
      <c r="O51" s="9">
        <v>18708086000000</v>
      </c>
      <c r="P51" s="9">
        <v>27328301000000</v>
      </c>
      <c r="Q51" s="9">
        <v>26220754000000</v>
      </c>
      <c r="R51" s="9">
        <v>23268690000000</v>
      </c>
      <c r="S51" s="9">
        <v>19128900000000</v>
      </c>
      <c r="T51" s="9">
        <v>27299094000000</v>
      </c>
      <c r="U51" s="9">
        <v>38994467000000</v>
      </c>
      <c r="V51" s="9">
        <v>44790246000000</v>
      </c>
      <c r="W51" s="9">
        <v>31820877000000</v>
      </c>
      <c r="X51" s="9">
        <v>49979397000000</v>
      </c>
      <c r="Y51" s="9">
        <v>59851704000000</v>
      </c>
      <c r="Z51" s="9">
        <v>52734954000000</v>
      </c>
      <c r="AA51" s="9">
        <v>43214989000000</v>
      </c>
      <c r="AB51" s="9">
        <v>58216738000000</v>
      </c>
      <c r="AC51" s="9">
        <v>49440640000000</v>
      </c>
      <c r="AD51" s="9">
        <v>53660498000000</v>
      </c>
      <c r="AE51" s="9">
        <v>23760794000000</v>
      </c>
      <c r="AF51" s="9">
        <v>5629709000000</v>
      </c>
      <c r="AG51" s="9">
        <v>62597686000000</v>
      </c>
      <c r="AH51" s="9">
        <v>55849303000000</v>
      </c>
      <c r="AI51" s="9">
        <v>72466681000000</v>
      </c>
      <c r="AJ51" s="9">
        <v>61373222000000</v>
      </c>
      <c r="AK51" s="9">
        <v>74877046000000</v>
      </c>
      <c r="AL51" s="9">
        <v>54797830000000</v>
      </c>
      <c r="AM51" s="9">
        <v>75267930000000</v>
      </c>
      <c r="AN51" s="9">
        <v>104143915000000</v>
      </c>
      <c r="AO51" s="9">
        <v>129408777000000</v>
      </c>
      <c r="AP51" s="9">
        <v>112188284000000</v>
      </c>
      <c r="AQ51" s="9">
        <v>111667802000000</v>
      </c>
    </row>
    <row r="52" spans="1:43" x14ac:dyDescent="0.25">
      <c r="A52" s="8" t="s">
        <v>44</v>
      </c>
      <c r="B52" s="9">
        <v>3534978000000</v>
      </c>
      <c r="C52" s="9">
        <v>4163221000000</v>
      </c>
      <c r="D52" s="9">
        <v>4897180000000</v>
      </c>
      <c r="E52" s="9">
        <v>6063250000000</v>
      </c>
      <c r="F52" s="9">
        <v>5660557000000</v>
      </c>
      <c r="G52" s="9">
        <v>7513916000000</v>
      </c>
      <c r="H52" s="9">
        <v>17725131000000</v>
      </c>
      <c r="I52" s="9">
        <v>24973016000000</v>
      </c>
      <c r="J52" s="9">
        <v>19195118000000</v>
      </c>
      <c r="K52" s="9">
        <v>10727083000000</v>
      </c>
      <c r="L52" s="9">
        <v>15844488000000</v>
      </c>
      <c r="M52" s="9">
        <v>17851513000000</v>
      </c>
      <c r="N52" s="9">
        <v>14924436000000</v>
      </c>
      <c r="O52" s="9">
        <v>15213797000000</v>
      </c>
      <c r="P52" s="9">
        <v>15615411000000</v>
      </c>
      <c r="Q52" s="9">
        <v>19756945000000</v>
      </c>
      <c r="R52" s="9">
        <v>19976166000000</v>
      </c>
      <c r="S52" s="9">
        <v>13229800000000</v>
      </c>
      <c r="T52" s="9">
        <v>14470512000000</v>
      </c>
      <c r="U52" s="9">
        <v>36181106000000</v>
      </c>
      <c r="V52" s="9">
        <v>25078821000000</v>
      </c>
      <c r="W52" s="9">
        <v>28437909000000</v>
      </c>
      <c r="X52" s="9">
        <v>31372483000000</v>
      </c>
      <c r="Y52" s="9">
        <v>47390878000000</v>
      </c>
      <c r="Z52" s="9">
        <v>40738812000000</v>
      </c>
      <c r="AA52" s="9">
        <v>42971994000000</v>
      </c>
      <c r="AB52" s="9">
        <v>41420259000000</v>
      </c>
      <c r="AC52" s="9">
        <v>43212560000000</v>
      </c>
      <c r="AD52" s="9">
        <v>43667091000000</v>
      </c>
      <c r="AE52" s="9">
        <v>39005548000000</v>
      </c>
      <c r="AF52" s="9">
        <v>45907990000000</v>
      </c>
      <c r="AG52" s="9">
        <v>49489292000000</v>
      </c>
      <c r="AH52" s="9">
        <v>51159707000000</v>
      </c>
      <c r="AI52" s="9">
        <v>46220733000000</v>
      </c>
      <c r="AJ52" s="9">
        <v>30929705000000</v>
      </c>
      <c r="AK52" s="9">
        <v>24583533000000</v>
      </c>
      <c r="AL52" s="9">
        <v>18880608000000</v>
      </c>
      <c r="AM52" s="9">
        <v>24001408000000</v>
      </c>
      <c r="AN52" s="9">
        <v>26124226000000</v>
      </c>
      <c r="AO52" s="9">
        <v>39798518000000</v>
      </c>
      <c r="AP52" s="9">
        <v>40588804000000</v>
      </c>
      <c r="AQ52" s="9">
        <v>36710109000000</v>
      </c>
    </row>
    <row r="53" spans="1:43" x14ac:dyDescent="0.25">
      <c r="A53" s="5" t="s">
        <v>45</v>
      </c>
      <c r="B53" s="6">
        <v>86085606000000</v>
      </c>
      <c r="C53" s="6">
        <v>93167357000000</v>
      </c>
      <c r="D53" s="6">
        <v>97815709000000</v>
      </c>
      <c r="E53" s="6">
        <v>103299771000000</v>
      </c>
      <c r="F53" s="6">
        <v>112876523000000</v>
      </c>
      <c r="G53" s="6">
        <v>115710752000000</v>
      </c>
      <c r="H53" s="6">
        <v>118116320000000</v>
      </c>
      <c r="I53" s="6">
        <v>120537469000000</v>
      </c>
      <c r="J53" s="6">
        <v>117302099000000</v>
      </c>
      <c r="K53" s="6">
        <v>126776964000000</v>
      </c>
      <c r="L53" s="6">
        <v>129966300000000</v>
      </c>
      <c r="M53" s="6">
        <v>128060094000000</v>
      </c>
      <c r="N53" s="6">
        <v>126694184000000</v>
      </c>
      <c r="O53" s="6">
        <v>130057580000000</v>
      </c>
      <c r="P53" s="6">
        <v>124917876000000</v>
      </c>
      <c r="Q53" s="6">
        <v>126018576000000</v>
      </c>
      <c r="R53" s="6">
        <v>132822498000000</v>
      </c>
      <c r="S53" s="6">
        <v>149805037000000</v>
      </c>
      <c r="T53" s="6">
        <v>168443457000000</v>
      </c>
      <c r="U53" s="6">
        <v>174620270000000</v>
      </c>
      <c r="V53" s="6">
        <v>184987517000000</v>
      </c>
      <c r="W53" s="6">
        <v>198533937000000</v>
      </c>
      <c r="X53" s="6">
        <v>194429468000000</v>
      </c>
      <c r="Y53" s="6">
        <v>183283118000000</v>
      </c>
      <c r="Z53" s="6">
        <v>201490028000000</v>
      </c>
      <c r="AA53" s="6">
        <v>212520096000000</v>
      </c>
      <c r="AB53" s="6">
        <v>207780769000000</v>
      </c>
      <c r="AC53" s="6">
        <v>215797174000000</v>
      </c>
      <c r="AD53" s="6">
        <v>249802943000000</v>
      </c>
      <c r="AE53" s="6">
        <v>309645137000000</v>
      </c>
      <c r="AF53" s="6">
        <v>341712982000000</v>
      </c>
      <c r="AG53" s="6">
        <v>370777888000000</v>
      </c>
      <c r="AH53" s="6">
        <v>378789084000000</v>
      </c>
      <c r="AI53" s="6">
        <v>386573343000000</v>
      </c>
      <c r="AJ53" s="6">
        <v>397018666000000</v>
      </c>
      <c r="AK53" s="6">
        <v>437505165000000</v>
      </c>
      <c r="AL53" s="6">
        <v>465321208000000</v>
      </c>
      <c r="AM53" s="6">
        <v>478700229000000</v>
      </c>
      <c r="AN53" s="6">
        <v>487862978000000</v>
      </c>
      <c r="AO53" s="6">
        <v>560714282000000</v>
      </c>
      <c r="AP53" s="6">
        <v>621548943000000</v>
      </c>
      <c r="AQ53" s="6">
        <v>674058701000000</v>
      </c>
    </row>
    <row r="54" spans="1:43" x14ac:dyDescent="0.25">
      <c r="A54" s="5" t="s">
        <v>46</v>
      </c>
      <c r="B54" s="4">
        <v>0</v>
      </c>
      <c r="C54" s="4">
        <v>0</v>
      </c>
      <c r="D54" s="4">
        <v>0</v>
      </c>
      <c r="E54" s="6">
        <v>9326000000</v>
      </c>
      <c r="F54" s="4">
        <v>0</v>
      </c>
      <c r="G54" s="6">
        <v>88896000000</v>
      </c>
      <c r="H54" s="4">
        <v>0</v>
      </c>
      <c r="I54" s="6">
        <v>70098000000</v>
      </c>
      <c r="J54" s="4">
        <v>0</v>
      </c>
      <c r="K54" s="4">
        <v>0</v>
      </c>
      <c r="L54" s="4">
        <v>0</v>
      </c>
      <c r="M54" s="4">
        <v>0</v>
      </c>
      <c r="N54" s="6">
        <v>2114000000</v>
      </c>
      <c r="O54" s="6">
        <v>30099000000</v>
      </c>
      <c r="P54" s="4">
        <v>0</v>
      </c>
      <c r="Q54" s="6">
        <v>14262000000</v>
      </c>
      <c r="R54" s="6">
        <v>23069000000</v>
      </c>
      <c r="S54" s="6">
        <v>52629000000</v>
      </c>
      <c r="T54" s="6">
        <v>31072000000</v>
      </c>
      <c r="U54" s="6">
        <v>215182000000</v>
      </c>
      <c r="V54" s="4">
        <v>0</v>
      </c>
      <c r="W54" s="4">
        <v>0</v>
      </c>
      <c r="X54" s="4">
        <v>0</v>
      </c>
      <c r="Y54" s="6">
        <v>15550000000</v>
      </c>
      <c r="Z54" s="6">
        <v>45007000000</v>
      </c>
      <c r="AA54" s="4">
        <v>0</v>
      </c>
      <c r="AB54" s="6">
        <v>179100000000</v>
      </c>
      <c r="AC54" s="6">
        <v>226480000000</v>
      </c>
      <c r="AD54" s="6">
        <v>76916000000</v>
      </c>
      <c r="AE54" s="4">
        <v>0</v>
      </c>
      <c r="AF54" s="6">
        <v>272222000000</v>
      </c>
      <c r="AG54" s="4">
        <v>0</v>
      </c>
      <c r="AH54" s="4">
        <v>0</v>
      </c>
      <c r="AI54" s="4">
        <v>0</v>
      </c>
      <c r="AJ54" s="6">
        <v>113837000000</v>
      </c>
      <c r="AK54" s="6">
        <v>18449000000</v>
      </c>
      <c r="AL54" s="6">
        <v>279539000000</v>
      </c>
      <c r="AM54" s="4">
        <v>0</v>
      </c>
      <c r="AN54" s="4">
        <v>0</v>
      </c>
      <c r="AO54" s="4">
        <v>427000000</v>
      </c>
      <c r="AP54" s="4">
        <v>0</v>
      </c>
      <c r="AQ54" s="4">
        <v>0</v>
      </c>
    </row>
    <row r="55" spans="1:43" x14ac:dyDescent="0.25">
      <c r="A55" s="5" t="s">
        <v>47</v>
      </c>
      <c r="B55" s="6">
        <v>2818337000000</v>
      </c>
      <c r="C55" s="6">
        <v>2811847000000</v>
      </c>
      <c r="D55" s="6">
        <v>2817410000000</v>
      </c>
      <c r="E55" s="6">
        <v>2843432000000</v>
      </c>
      <c r="F55" s="6">
        <v>2868026000000</v>
      </c>
      <c r="G55" s="6">
        <v>2907267000000</v>
      </c>
      <c r="H55" s="6">
        <v>2928041000000</v>
      </c>
      <c r="I55" s="6">
        <v>2927741000000</v>
      </c>
      <c r="J55" s="6">
        <v>2947308000000</v>
      </c>
      <c r="K55" s="6">
        <v>3008715000000</v>
      </c>
      <c r="L55" s="6">
        <v>3063519000000</v>
      </c>
      <c r="M55" s="6">
        <v>3045666000000</v>
      </c>
      <c r="N55" s="6">
        <v>3046889000000</v>
      </c>
      <c r="O55" s="6">
        <v>3059677000000</v>
      </c>
      <c r="P55" s="6">
        <v>3048112000000</v>
      </c>
      <c r="Q55" s="6">
        <v>3043492000000</v>
      </c>
      <c r="R55" s="6">
        <v>3088121000000</v>
      </c>
      <c r="S55" s="6">
        <v>3048933000000</v>
      </c>
      <c r="T55" s="6">
        <v>3048436000000</v>
      </c>
      <c r="U55" s="6">
        <v>3037163000000</v>
      </c>
      <c r="V55" s="6">
        <v>3029863000000</v>
      </c>
      <c r="W55" s="6">
        <v>3022568000000</v>
      </c>
      <c r="X55" s="6">
        <v>2921231000000</v>
      </c>
      <c r="Y55" s="6">
        <v>2936864000000</v>
      </c>
      <c r="Z55" s="6">
        <v>2859595000000</v>
      </c>
      <c r="AA55" s="6">
        <v>2906854000000</v>
      </c>
      <c r="AB55" s="6">
        <v>2905881000000</v>
      </c>
      <c r="AC55" s="6">
        <v>2860155000000</v>
      </c>
      <c r="AD55" s="6">
        <v>2791568000000</v>
      </c>
      <c r="AE55" s="6">
        <v>2800933000000</v>
      </c>
      <c r="AF55" s="6">
        <v>2811290000000</v>
      </c>
      <c r="AG55" s="6">
        <v>2811129000000</v>
      </c>
      <c r="AH55" s="6">
        <v>2796221000000</v>
      </c>
      <c r="AI55" s="6">
        <v>2856478000000</v>
      </c>
      <c r="AJ55" s="6">
        <v>2698648000000</v>
      </c>
      <c r="AK55" s="6">
        <v>2788443000000</v>
      </c>
      <c r="AL55" s="6">
        <v>2729948000000</v>
      </c>
      <c r="AM55" s="6">
        <v>2787202000000</v>
      </c>
      <c r="AN55" s="6">
        <v>2734577000000</v>
      </c>
      <c r="AO55" s="6">
        <v>2721952000000</v>
      </c>
      <c r="AP55" s="6">
        <v>2644604000000</v>
      </c>
      <c r="AQ55" s="6">
        <v>2647188000000</v>
      </c>
    </row>
    <row r="56" spans="1:43" x14ac:dyDescent="0.25">
      <c r="A56" s="5" t="s">
        <v>48</v>
      </c>
      <c r="B56" s="6">
        <v>9097000000000</v>
      </c>
      <c r="C56" s="6">
        <v>8995000000000</v>
      </c>
      <c r="D56" s="6">
        <v>11086000000000</v>
      </c>
      <c r="E56" s="6">
        <v>11027014000000</v>
      </c>
      <c r="F56" s="6">
        <v>11754000000000</v>
      </c>
      <c r="G56" s="6">
        <v>11353000000000</v>
      </c>
      <c r="H56" s="6">
        <v>10582000000000</v>
      </c>
      <c r="I56" s="6">
        <v>9793000000000</v>
      </c>
      <c r="J56" s="6">
        <v>9446000000000</v>
      </c>
      <c r="K56" s="6">
        <v>14410637000000</v>
      </c>
      <c r="L56" s="6">
        <v>14750000000000</v>
      </c>
      <c r="M56" s="6">
        <v>14927000000000</v>
      </c>
      <c r="N56" s="6">
        <v>14129681000000</v>
      </c>
      <c r="O56" s="6">
        <v>17746000000000</v>
      </c>
      <c r="P56" s="6">
        <v>20027400000000</v>
      </c>
      <c r="Q56" s="6">
        <v>25013063000000</v>
      </c>
      <c r="R56" s="6">
        <v>25174063000000</v>
      </c>
      <c r="S56" s="6">
        <v>28719063000000</v>
      </c>
      <c r="T56" s="6">
        <v>29838063000000</v>
      </c>
      <c r="U56" s="6">
        <v>34332257000000</v>
      </c>
      <c r="V56" s="6">
        <v>34278134000000</v>
      </c>
      <c r="W56" s="6">
        <v>33315209000000</v>
      </c>
      <c r="X56" s="6">
        <v>30995597000000</v>
      </c>
      <c r="Y56" s="6">
        <v>42756113000000</v>
      </c>
      <c r="Z56" s="6">
        <v>42099369000000</v>
      </c>
      <c r="AA56" s="6">
        <v>39104392000000</v>
      </c>
      <c r="AB56" s="6">
        <v>42765762000000</v>
      </c>
      <c r="AC56" s="6">
        <v>44161640000000</v>
      </c>
      <c r="AD56" s="6">
        <v>56238326000000</v>
      </c>
      <c r="AE56" s="6">
        <v>54880424000000</v>
      </c>
      <c r="AF56" s="6">
        <v>52132702000000</v>
      </c>
      <c r="AG56" s="6">
        <v>50938148000000</v>
      </c>
      <c r="AH56" s="6">
        <v>46301878000000</v>
      </c>
      <c r="AI56" s="6">
        <v>44592656000000</v>
      </c>
      <c r="AJ56" s="6">
        <v>67367167000000</v>
      </c>
      <c r="AK56" s="6">
        <v>81349745000000</v>
      </c>
      <c r="AL56" s="6">
        <v>88350608000000</v>
      </c>
      <c r="AM56" s="6">
        <v>83686176000000</v>
      </c>
      <c r="AN56" s="6">
        <v>74613874000000</v>
      </c>
      <c r="AO56" s="6">
        <v>87434265000000</v>
      </c>
      <c r="AP56" s="6">
        <v>103937859000000</v>
      </c>
      <c r="AQ56" s="6">
        <v>107347997000000</v>
      </c>
    </row>
    <row r="57" spans="1:43" x14ac:dyDescent="0.25">
      <c r="A57" s="7" t="s">
        <v>49</v>
      </c>
      <c r="B57" s="6">
        <v>2493710000000</v>
      </c>
      <c r="C57" s="6">
        <v>2694017000000</v>
      </c>
      <c r="D57" s="6">
        <v>3144759000000</v>
      </c>
      <c r="E57" s="6">
        <v>3309786000000</v>
      </c>
      <c r="F57" s="6">
        <v>3478125000000</v>
      </c>
      <c r="G57" s="6">
        <v>3559344000000</v>
      </c>
      <c r="H57" s="6">
        <v>3960291000000</v>
      </c>
      <c r="I57" s="6">
        <v>3873229000000</v>
      </c>
      <c r="J57" s="6">
        <v>3761300000000</v>
      </c>
      <c r="K57" s="6">
        <v>4017548000000</v>
      </c>
      <c r="L57" s="6">
        <v>3837117000000</v>
      </c>
      <c r="M57" s="6">
        <v>4645362000000</v>
      </c>
      <c r="N57" s="6">
        <v>4562871000000</v>
      </c>
      <c r="O57" s="6">
        <v>4705241000000</v>
      </c>
      <c r="P57" s="6">
        <v>4509219000000</v>
      </c>
      <c r="Q57" s="6">
        <v>8819903000000</v>
      </c>
      <c r="R57" s="6">
        <v>5430318000000</v>
      </c>
      <c r="S57" s="6">
        <v>5585080000000</v>
      </c>
      <c r="T57" s="6">
        <v>6114076000000</v>
      </c>
      <c r="U57" s="6">
        <v>6900216000000</v>
      </c>
      <c r="V57" s="6">
        <v>7115380000000</v>
      </c>
      <c r="W57" s="6">
        <v>7991652000000</v>
      </c>
      <c r="X57" s="6">
        <v>7281841000000</v>
      </c>
      <c r="Y57" s="6">
        <v>7494576000000</v>
      </c>
      <c r="Z57" s="6">
        <v>8185158000000</v>
      </c>
      <c r="AA57" s="6">
        <v>8112010000000</v>
      </c>
      <c r="AB57" s="6">
        <v>8662834000000</v>
      </c>
      <c r="AC57" s="6">
        <v>10758230000000</v>
      </c>
      <c r="AD57" s="6">
        <v>11701466000000</v>
      </c>
      <c r="AE57" s="6">
        <v>13336115000000</v>
      </c>
      <c r="AF57" s="6">
        <v>16740948000000</v>
      </c>
      <c r="AG57" s="6">
        <v>19273804000000</v>
      </c>
      <c r="AH57" s="6">
        <v>17934968000000</v>
      </c>
      <c r="AI57" s="6">
        <v>18886920000000</v>
      </c>
      <c r="AJ57" s="6">
        <v>16465972000000</v>
      </c>
      <c r="AK57" s="6">
        <v>19485490000000</v>
      </c>
      <c r="AL57" s="6">
        <v>19890624000000</v>
      </c>
      <c r="AM57" s="6">
        <v>55017027000000</v>
      </c>
      <c r="AN57" s="6">
        <v>18040753000000</v>
      </c>
      <c r="AO57" s="6">
        <v>21332484000000</v>
      </c>
      <c r="AP57" s="6">
        <v>20113455000000</v>
      </c>
      <c r="AQ57" s="6">
        <v>21230742000000</v>
      </c>
    </row>
    <row r="58" spans="1:43" x14ac:dyDescent="0.25">
      <c r="A58" s="8" t="s">
        <v>50</v>
      </c>
      <c r="B58" s="9">
        <v>1900780000000</v>
      </c>
      <c r="C58" s="9">
        <v>1918512000000</v>
      </c>
      <c r="D58" s="9">
        <v>2076184000000</v>
      </c>
      <c r="E58" s="9">
        <v>2463250000000</v>
      </c>
      <c r="F58" s="9">
        <v>2692680000000</v>
      </c>
      <c r="G58" s="9">
        <v>2752689000000</v>
      </c>
      <c r="H58" s="9">
        <v>2724918000000</v>
      </c>
      <c r="I58" s="9">
        <v>2695865000000</v>
      </c>
      <c r="J58" s="9">
        <v>2631864000000</v>
      </c>
      <c r="K58" s="9">
        <v>2632222000000</v>
      </c>
      <c r="L58" s="9">
        <v>2668235000000</v>
      </c>
      <c r="M58" s="9">
        <v>3143348000000</v>
      </c>
      <c r="N58" s="9">
        <v>3273374000000</v>
      </c>
      <c r="O58" s="9">
        <v>3232010000000</v>
      </c>
      <c r="P58" s="9">
        <v>3025099000000</v>
      </c>
      <c r="Q58" s="9">
        <v>3249358000000</v>
      </c>
      <c r="R58" s="9">
        <v>3806030000000</v>
      </c>
      <c r="S58" s="9">
        <v>3694316000000</v>
      </c>
      <c r="T58" s="9">
        <v>4082498000000</v>
      </c>
      <c r="U58" s="9">
        <v>4435108000000</v>
      </c>
      <c r="V58" s="9">
        <v>4809515000000</v>
      </c>
      <c r="W58" s="9">
        <v>4685501000000</v>
      </c>
      <c r="X58" s="9">
        <v>4603048000000</v>
      </c>
      <c r="Y58" s="9">
        <v>4383088000000</v>
      </c>
      <c r="Z58" s="9">
        <v>4470513000000</v>
      </c>
      <c r="AA58" s="9">
        <v>4457819000000</v>
      </c>
      <c r="AB58" s="9">
        <v>4852600000000</v>
      </c>
      <c r="AC58" s="9">
        <v>5052933000000</v>
      </c>
      <c r="AD58" s="9">
        <v>7051328000000</v>
      </c>
      <c r="AE58" s="9">
        <v>8269869000000</v>
      </c>
      <c r="AF58" s="9">
        <v>10050645000000</v>
      </c>
      <c r="AG58" s="9">
        <v>10346499000000</v>
      </c>
      <c r="AH58" s="9">
        <v>9640744000000</v>
      </c>
      <c r="AI58" s="9">
        <v>7661383000000</v>
      </c>
      <c r="AJ58" s="9">
        <v>7459227000000</v>
      </c>
      <c r="AK58" s="9">
        <v>8013166000000</v>
      </c>
      <c r="AL58" s="9">
        <v>10170072000000</v>
      </c>
      <c r="AM58" s="9">
        <v>11475643000000</v>
      </c>
      <c r="AN58" s="9">
        <v>10050623000000</v>
      </c>
      <c r="AO58" s="9">
        <v>9306729000000</v>
      </c>
      <c r="AP58" s="9">
        <v>9961321000000</v>
      </c>
      <c r="AQ58" s="9">
        <v>13433892000000</v>
      </c>
    </row>
    <row r="59" spans="1:43" x14ac:dyDescent="0.25">
      <c r="A59" s="8" t="s">
        <v>51</v>
      </c>
      <c r="B59" s="10">
        <v>0</v>
      </c>
      <c r="C59" s="10">
        <v>0</v>
      </c>
      <c r="D59" s="10">
        <v>0</v>
      </c>
      <c r="E59" s="10">
        <v>0</v>
      </c>
      <c r="F59" s="10">
        <v>0</v>
      </c>
      <c r="G59" s="10">
        <v>0</v>
      </c>
      <c r="H59" s="10">
        <v>0</v>
      </c>
      <c r="I59" s="10">
        <v>0</v>
      </c>
      <c r="J59" s="10">
        <v>0</v>
      </c>
      <c r="K59" s="10">
        <v>0</v>
      </c>
      <c r="L59" s="10">
        <v>0</v>
      </c>
      <c r="M59" s="9">
        <v>1585000000</v>
      </c>
      <c r="N59" s="9">
        <v>1585000000</v>
      </c>
      <c r="O59" s="10">
        <v>851000000</v>
      </c>
      <c r="P59" s="10">
        <v>851000000</v>
      </c>
      <c r="Q59" s="10">
        <v>0</v>
      </c>
      <c r="R59" s="10">
        <v>0</v>
      </c>
      <c r="S59" s="10">
        <v>0</v>
      </c>
      <c r="T59" s="10">
        <v>0</v>
      </c>
      <c r="U59" s="9">
        <v>4664000000</v>
      </c>
      <c r="V59" s="9">
        <v>4664000000</v>
      </c>
      <c r="W59" s="9">
        <v>4664000000</v>
      </c>
      <c r="X59" s="9">
        <v>4664000000</v>
      </c>
      <c r="Y59" s="10">
        <v>602000000</v>
      </c>
      <c r="Z59" s="10">
        <v>602000000</v>
      </c>
      <c r="AA59" s="10">
        <v>602000000</v>
      </c>
      <c r="AB59" s="10">
        <v>602000000</v>
      </c>
      <c r="AC59" s="10">
        <v>0</v>
      </c>
      <c r="AD59" s="10">
        <v>0</v>
      </c>
      <c r="AE59" s="10">
        <v>0</v>
      </c>
      <c r="AF59" s="10">
        <v>0</v>
      </c>
      <c r="AG59" s="10">
        <v>0</v>
      </c>
      <c r="AH59" s="10">
        <v>0</v>
      </c>
      <c r="AI59" s="10">
        <v>0</v>
      </c>
      <c r="AJ59" s="10">
        <v>0</v>
      </c>
      <c r="AK59" s="10">
        <v>0</v>
      </c>
      <c r="AL59" s="10">
        <v>0</v>
      </c>
      <c r="AM59" s="10">
        <v>0</v>
      </c>
      <c r="AN59" s="10">
        <v>0</v>
      </c>
      <c r="AO59" s="10">
        <v>0</v>
      </c>
      <c r="AP59" s="10">
        <v>0</v>
      </c>
      <c r="AQ59" s="10">
        <v>0</v>
      </c>
    </row>
    <row r="60" spans="1:43" x14ac:dyDescent="0.25">
      <c r="A60" s="8" t="s">
        <v>52</v>
      </c>
      <c r="B60" s="9">
        <v>592930000000</v>
      </c>
      <c r="C60" s="9">
        <v>775505000000</v>
      </c>
      <c r="D60" s="9">
        <v>1068575000000</v>
      </c>
      <c r="E60" s="9">
        <v>846536000000</v>
      </c>
      <c r="F60" s="9">
        <v>785445000000</v>
      </c>
      <c r="G60" s="9">
        <v>806655000000</v>
      </c>
      <c r="H60" s="9">
        <v>1235373000000</v>
      </c>
      <c r="I60" s="9">
        <v>1177364000000</v>
      </c>
      <c r="J60" s="9">
        <v>1129436000000</v>
      </c>
      <c r="K60" s="9">
        <v>1385326000000</v>
      </c>
      <c r="L60" s="9">
        <v>1168882000000</v>
      </c>
      <c r="M60" s="9">
        <v>1500429000000</v>
      </c>
      <c r="N60" s="9">
        <v>1287912000000</v>
      </c>
      <c r="O60" s="10">
        <v>0</v>
      </c>
      <c r="P60" s="9">
        <v>1483269000000</v>
      </c>
      <c r="Q60" s="9">
        <v>5570545000000</v>
      </c>
      <c r="R60" s="9">
        <v>1624288000000</v>
      </c>
      <c r="S60" s="9">
        <v>1890764000000</v>
      </c>
      <c r="T60" s="9">
        <v>2031578000000</v>
      </c>
      <c r="U60" s="9">
        <v>2460444000000</v>
      </c>
      <c r="V60" s="9">
        <v>2301201000000</v>
      </c>
      <c r="W60" s="9">
        <v>3301487000000</v>
      </c>
      <c r="X60" s="9">
        <v>2674129000000</v>
      </c>
      <c r="Y60" s="9">
        <v>3110886000000</v>
      </c>
      <c r="Z60" s="9">
        <v>3714043000000</v>
      </c>
      <c r="AA60" s="9">
        <v>3653589000000</v>
      </c>
      <c r="AB60" s="9">
        <v>3809632000000</v>
      </c>
      <c r="AC60" s="9">
        <v>5705297000000</v>
      </c>
      <c r="AD60" s="9">
        <v>4650138000000</v>
      </c>
      <c r="AE60" s="9">
        <v>5066246000000</v>
      </c>
      <c r="AF60" s="9">
        <v>6690303000000</v>
      </c>
      <c r="AG60" s="9">
        <v>8927305000000</v>
      </c>
      <c r="AH60" s="9">
        <v>8294224000000</v>
      </c>
      <c r="AI60" s="9">
        <v>11225537000000</v>
      </c>
      <c r="AJ60" s="9">
        <v>9006745000000</v>
      </c>
      <c r="AK60" s="9">
        <v>11472324000000</v>
      </c>
      <c r="AL60" s="9">
        <v>9720552000000</v>
      </c>
      <c r="AM60" s="9">
        <v>43541384000000</v>
      </c>
      <c r="AN60" s="9">
        <v>7990130000000</v>
      </c>
      <c r="AO60" s="9">
        <v>12025755000000</v>
      </c>
      <c r="AP60" s="9">
        <v>10152134000000</v>
      </c>
      <c r="AQ60" s="9">
        <v>7796850000000</v>
      </c>
    </row>
    <row r="61" spans="1:43" x14ac:dyDescent="0.25">
      <c r="A61" s="8" t="s">
        <v>53</v>
      </c>
      <c r="B61" s="10">
        <v>0</v>
      </c>
      <c r="C61" s="10">
        <v>0</v>
      </c>
      <c r="D61" s="10">
        <v>0</v>
      </c>
      <c r="E61" s="10">
        <v>0</v>
      </c>
      <c r="F61" s="10">
        <v>0</v>
      </c>
      <c r="G61" s="10">
        <v>0</v>
      </c>
      <c r="H61" s="10">
        <v>0</v>
      </c>
      <c r="I61" s="10">
        <v>0</v>
      </c>
      <c r="J61" s="10">
        <v>0</v>
      </c>
      <c r="K61" s="10">
        <v>0</v>
      </c>
      <c r="L61" s="10">
        <v>0</v>
      </c>
      <c r="M61" s="10">
        <v>0</v>
      </c>
      <c r="N61" s="10">
        <v>0</v>
      </c>
      <c r="O61" s="9">
        <v>1472380000000</v>
      </c>
      <c r="P61" s="10">
        <v>0</v>
      </c>
      <c r="Q61" s="10">
        <v>0</v>
      </c>
      <c r="R61" s="10">
        <v>0</v>
      </c>
      <c r="S61" s="10">
        <v>0</v>
      </c>
      <c r="T61" s="10">
        <v>0</v>
      </c>
      <c r="U61" s="10">
        <v>0</v>
      </c>
      <c r="V61" s="10">
        <v>0</v>
      </c>
      <c r="W61" s="10">
        <v>0</v>
      </c>
      <c r="X61" s="10">
        <v>0</v>
      </c>
      <c r="Y61" s="10">
        <v>0</v>
      </c>
      <c r="Z61" s="10">
        <v>0</v>
      </c>
      <c r="AA61" s="10">
        <v>0</v>
      </c>
      <c r="AB61" s="10">
        <v>0</v>
      </c>
      <c r="AC61" s="10">
        <v>0</v>
      </c>
      <c r="AD61" s="10">
        <v>0</v>
      </c>
      <c r="AE61" s="10">
        <v>0</v>
      </c>
      <c r="AF61" s="10">
        <v>0</v>
      </c>
      <c r="AG61" s="10">
        <v>0</v>
      </c>
      <c r="AH61" s="10">
        <v>0</v>
      </c>
      <c r="AI61" s="10">
        <v>0</v>
      </c>
      <c r="AJ61" s="10">
        <v>0</v>
      </c>
      <c r="AK61" s="10">
        <v>0</v>
      </c>
      <c r="AL61" s="10">
        <v>0</v>
      </c>
      <c r="AM61" s="10">
        <v>0</v>
      </c>
      <c r="AN61" s="10">
        <v>0</v>
      </c>
      <c r="AO61" s="10">
        <v>0</v>
      </c>
      <c r="AP61" s="10">
        <v>0</v>
      </c>
      <c r="AQ61" s="10">
        <v>0</v>
      </c>
    </row>
    <row r="62" spans="1:43" x14ac:dyDescent="0.25">
      <c r="A62" s="7" t="s">
        <v>54</v>
      </c>
      <c r="B62" s="6">
        <v>9613548000000</v>
      </c>
      <c r="C62" s="6">
        <v>8824812000000</v>
      </c>
      <c r="D62" s="6">
        <v>9077560000000</v>
      </c>
      <c r="E62" s="6">
        <v>9317013000000</v>
      </c>
      <c r="F62" s="6">
        <v>9579382000000</v>
      </c>
      <c r="G62" s="6">
        <v>9929002000000</v>
      </c>
      <c r="H62" s="6">
        <v>10671435000000</v>
      </c>
      <c r="I62" s="6">
        <v>14075542000000</v>
      </c>
      <c r="J62" s="6">
        <v>14869054000000</v>
      </c>
      <c r="K62" s="6">
        <v>15584058000000</v>
      </c>
      <c r="L62" s="6">
        <v>14873994000000</v>
      </c>
      <c r="M62" s="6">
        <v>15635164000000</v>
      </c>
      <c r="N62" s="6">
        <v>16440279000000</v>
      </c>
      <c r="O62" s="6">
        <v>17220692000000</v>
      </c>
      <c r="P62" s="6">
        <v>18120533000000</v>
      </c>
      <c r="Q62" s="6">
        <v>19072572000000</v>
      </c>
      <c r="R62" s="6">
        <v>19666589000000</v>
      </c>
      <c r="S62" s="6">
        <v>20862774000000</v>
      </c>
      <c r="T62" s="6">
        <v>21966719000000</v>
      </c>
      <c r="U62" s="6">
        <v>22997133000000</v>
      </c>
      <c r="V62" s="6">
        <v>24588053000000</v>
      </c>
      <c r="W62" s="6">
        <v>26137441000000</v>
      </c>
      <c r="X62" s="6">
        <v>27595140000000</v>
      </c>
      <c r="Y62" s="6">
        <v>29033441000000</v>
      </c>
      <c r="Z62" s="6">
        <v>30952773000000</v>
      </c>
      <c r="AA62" s="6">
        <v>33192313000000</v>
      </c>
      <c r="AB62" s="6">
        <v>35184486000000</v>
      </c>
      <c r="AC62" s="6">
        <v>36953538000000</v>
      </c>
      <c r="AD62" s="6">
        <v>39055741000000</v>
      </c>
      <c r="AE62" s="6">
        <v>38683723000000</v>
      </c>
      <c r="AF62" s="6">
        <v>41197838000000</v>
      </c>
      <c r="AG62" s="6">
        <v>44468859000000</v>
      </c>
      <c r="AH62" s="6">
        <v>47665387000000</v>
      </c>
      <c r="AI62" s="6">
        <v>50653886000000</v>
      </c>
      <c r="AJ62" s="6">
        <v>51290391000000</v>
      </c>
      <c r="AK62" s="6">
        <v>54491343000000</v>
      </c>
      <c r="AL62" s="6">
        <v>58743461000000</v>
      </c>
      <c r="AM62" s="6">
        <v>62176088000000</v>
      </c>
      <c r="AN62" s="6">
        <v>65804599000000</v>
      </c>
      <c r="AO62" s="6">
        <v>75549212000000</v>
      </c>
      <c r="AP62" s="6">
        <v>80335118000000</v>
      </c>
      <c r="AQ62" s="6">
        <v>85844256000000</v>
      </c>
    </row>
    <row r="63" spans="1:43" x14ac:dyDescent="0.25">
      <c r="A63" s="11" t="s">
        <v>55</v>
      </c>
      <c r="B63" s="9">
        <v>8104686000000</v>
      </c>
      <c r="C63" s="9">
        <v>8104686000000</v>
      </c>
      <c r="D63" s="9">
        <v>8104686000000</v>
      </c>
      <c r="E63" s="9">
        <v>8104686000000</v>
      </c>
      <c r="F63" s="9">
        <v>8104686000000</v>
      </c>
      <c r="G63" s="9">
        <v>8104686000000</v>
      </c>
      <c r="H63" s="9">
        <v>8104686000000</v>
      </c>
      <c r="I63" s="9">
        <v>11852342000000</v>
      </c>
      <c r="J63" s="9">
        <v>11852342000000</v>
      </c>
      <c r="K63" s="9">
        <v>11852342000000</v>
      </c>
      <c r="L63" s="9">
        <v>11852342000000</v>
      </c>
      <c r="M63" s="9">
        <v>11852342000000</v>
      </c>
      <c r="N63" s="9">
        <v>11852342000000</v>
      </c>
      <c r="O63" s="9">
        <v>11852342000000</v>
      </c>
      <c r="P63" s="9">
        <v>11852342000000</v>
      </c>
      <c r="Q63" s="9">
        <v>11693415000000</v>
      </c>
      <c r="R63" s="9">
        <v>11381661000000</v>
      </c>
      <c r="S63" s="9">
        <v>11381507000000</v>
      </c>
      <c r="T63" s="9">
        <v>11381507000000</v>
      </c>
      <c r="U63" s="9">
        <v>16211085000000</v>
      </c>
      <c r="V63" s="9">
        <v>16211085000000</v>
      </c>
      <c r="W63" s="9">
        <v>16211085000000</v>
      </c>
      <c r="X63" s="9">
        <v>16211085000000</v>
      </c>
      <c r="Y63" s="9">
        <v>20195503000000</v>
      </c>
      <c r="Z63" s="9">
        <v>20195503000000</v>
      </c>
      <c r="AA63" s="9">
        <v>20395503000000</v>
      </c>
      <c r="AB63" s="9">
        <v>20395503000000</v>
      </c>
      <c r="AC63" s="9">
        <v>25426026000000</v>
      </c>
      <c r="AD63" s="9">
        <v>25426026000000</v>
      </c>
      <c r="AE63" s="9">
        <v>25426026000000</v>
      </c>
      <c r="AF63" s="9">
        <v>29198918000000</v>
      </c>
      <c r="AG63" s="9">
        <v>29198918000000</v>
      </c>
      <c r="AH63" s="9">
        <v>29198918000000</v>
      </c>
      <c r="AI63" s="9">
        <v>29198918000000</v>
      </c>
      <c r="AJ63" s="9">
        <v>29198918000000</v>
      </c>
      <c r="AK63" s="9">
        <v>35224020000000</v>
      </c>
      <c r="AL63" s="9">
        <v>35224020000000</v>
      </c>
      <c r="AM63" s="9">
        <v>35224020000000</v>
      </c>
      <c r="AN63" s="9">
        <v>35224020000000</v>
      </c>
      <c r="AO63" s="9">
        <v>51327726000000</v>
      </c>
      <c r="AP63" s="9">
        <v>51327726000000</v>
      </c>
      <c r="AQ63" s="9">
        <v>51327709000000</v>
      </c>
    </row>
    <row r="64" spans="1:43" x14ac:dyDescent="0.25">
      <c r="A64" s="12" t="s">
        <v>56</v>
      </c>
      <c r="B64" s="9">
        <v>8100000000000</v>
      </c>
      <c r="C64" s="9">
        <v>8100000000000</v>
      </c>
      <c r="D64" s="9">
        <v>8100000000000</v>
      </c>
      <c r="E64" s="9">
        <v>8100000000000</v>
      </c>
      <c r="F64" s="9">
        <v>8100000000000</v>
      </c>
      <c r="G64" s="9">
        <v>8100000000000</v>
      </c>
      <c r="H64" s="9">
        <v>8100000000000</v>
      </c>
      <c r="I64" s="9">
        <v>9810000000000</v>
      </c>
      <c r="J64" s="9">
        <v>9810000000000</v>
      </c>
      <c r="K64" s="9">
        <v>9810000000000</v>
      </c>
      <c r="L64" s="9">
        <v>9810000000000</v>
      </c>
      <c r="M64" s="9">
        <v>9810000000000</v>
      </c>
      <c r="N64" s="9">
        <v>9810000000000</v>
      </c>
      <c r="O64" s="9">
        <v>9810000000000</v>
      </c>
      <c r="P64" s="9">
        <v>9810000000000</v>
      </c>
      <c r="Q64" s="9">
        <v>9810000000000</v>
      </c>
      <c r="R64" s="9">
        <v>9810000000000</v>
      </c>
      <c r="S64" s="9">
        <v>9810000000000</v>
      </c>
      <c r="T64" s="9">
        <v>9810000000000</v>
      </c>
      <c r="U64" s="9">
        <v>16088488000000</v>
      </c>
      <c r="V64" s="9">
        <v>16088488000000</v>
      </c>
      <c r="W64" s="9">
        <v>16088488000000</v>
      </c>
      <c r="X64" s="9">
        <v>16088488000000</v>
      </c>
      <c r="Y64" s="9">
        <v>20072906000000</v>
      </c>
      <c r="Z64" s="9">
        <v>20072906000000</v>
      </c>
      <c r="AA64" s="9">
        <v>20272906000000</v>
      </c>
      <c r="AB64" s="9">
        <v>20272906000000</v>
      </c>
      <c r="AC64" s="9">
        <v>25303429000000</v>
      </c>
      <c r="AD64" s="9">
        <v>25303429000000</v>
      </c>
      <c r="AE64" s="9">
        <v>25303429000000</v>
      </c>
      <c r="AF64" s="9">
        <v>29076321000000</v>
      </c>
      <c r="AG64" s="9">
        <v>29076321000000</v>
      </c>
      <c r="AH64" s="9">
        <v>29076321000000</v>
      </c>
      <c r="AI64" s="9">
        <v>29076321000000</v>
      </c>
      <c r="AJ64" s="9">
        <v>29076321000000</v>
      </c>
      <c r="AK64" s="9">
        <v>35101423000000</v>
      </c>
      <c r="AL64" s="9">
        <v>35101423000000</v>
      </c>
      <c r="AM64" s="9">
        <v>35101423000000</v>
      </c>
      <c r="AN64" s="9">
        <v>35101423000000</v>
      </c>
      <c r="AO64" s="9">
        <v>50052763000000</v>
      </c>
      <c r="AP64" s="9">
        <v>50052763000000</v>
      </c>
      <c r="AQ64" s="9">
        <v>50052763000000</v>
      </c>
    </row>
    <row r="65" spans="1:43" x14ac:dyDescent="0.25">
      <c r="A65" s="12" t="s">
        <v>57</v>
      </c>
      <c r="B65" s="10">
        <v>89000000</v>
      </c>
      <c r="C65" s="10">
        <v>89000000</v>
      </c>
      <c r="D65" s="10">
        <v>89000000</v>
      </c>
      <c r="E65" s="10">
        <v>89000000</v>
      </c>
      <c r="F65" s="10">
        <v>89000000</v>
      </c>
      <c r="G65" s="10">
        <v>89000000</v>
      </c>
      <c r="H65" s="10">
        <v>89000000</v>
      </c>
      <c r="I65" s="10">
        <v>89000000</v>
      </c>
      <c r="J65" s="10">
        <v>89000000</v>
      </c>
      <c r="K65" s="10">
        <v>89000000</v>
      </c>
      <c r="L65" s="10">
        <v>89000000</v>
      </c>
      <c r="M65" s="10">
        <v>89000000</v>
      </c>
      <c r="N65" s="10">
        <v>89000000</v>
      </c>
      <c r="O65" s="10">
        <v>89000000</v>
      </c>
      <c r="P65" s="10">
        <v>89000000</v>
      </c>
      <c r="Q65" s="10">
        <v>89000000</v>
      </c>
      <c r="R65" s="10">
        <v>89000000</v>
      </c>
      <c r="S65" s="10">
        <v>89000000</v>
      </c>
      <c r="T65" s="10">
        <v>89000000</v>
      </c>
      <c r="U65" s="10">
        <v>89000000</v>
      </c>
      <c r="V65" s="10">
        <v>89000000</v>
      </c>
      <c r="W65" s="10">
        <v>89000000</v>
      </c>
      <c r="X65" s="10">
        <v>89000000</v>
      </c>
      <c r="Y65" s="10">
        <v>89000000</v>
      </c>
      <c r="Z65" s="10">
        <v>89000000</v>
      </c>
      <c r="AA65" s="10">
        <v>89000000</v>
      </c>
      <c r="AB65" s="10">
        <v>89000000</v>
      </c>
      <c r="AC65" s="10">
        <v>89000000</v>
      </c>
      <c r="AD65" s="10">
        <v>89000000</v>
      </c>
      <c r="AE65" s="10">
        <v>89000000</v>
      </c>
      <c r="AF65" s="10">
        <v>89000000</v>
      </c>
      <c r="AG65" s="10">
        <v>89000000</v>
      </c>
      <c r="AH65" s="10">
        <v>89000000</v>
      </c>
      <c r="AI65" s="10">
        <v>89000000</v>
      </c>
      <c r="AJ65" s="10">
        <v>89000000</v>
      </c>
      <c r="AK65" s="10">
        <v>89000000</v>
      </c>
      <c r="AL65" s="10">
        <v>89000000</v>
      </c>
      <c r="AM65" s="10">
        <v>89000000</v>
      </c>
      <c r="AN65" s="10">
        <v>89000000</v>
      </c>
      <c r="AO65" s="10">
        <v>89000000</v>
      </c>
      <c r="AP65" s="10">
        <v>89000000</v>
      </c>
      <c r="AQ65" s="10">
        <v>89000000</v>
      </c>
    </row>
    <row r="66" spans="1:43" x14ac:dyDescent="0.25">
      <c r="A66" s="12" t="s">
        <v>58</v>
      </c>
      <c r="B66" s="9">
        <v>4599000000</v>
      </c>
      <c r="C66" s="9">
        <v>4599000000</v>
      </c>
      <c r="D66" s="9">
        <v>4599000000</v>
      </c>
      <c r="E66" s="9">
        <v>4599000000</v>
      </c>
      <c r="F66" s="9">
        <v>4599000000</v>
      </c>
      <c r="G66" s="9">
        <v>4599000000</v>
      </c>
      <c r="H66" s="9">
        <v>4599000000</v>
      </c>
      <c r="I66" s="9">
        <v>2042255000000</v>
      </c>
      <c r="J66" s="9">
        <v>2042255000000</v>
      </c>
      <c r="K66" s="9">
        <v>2042255000000</v>
      </c>
      <c r="L66" s="9">
        <v>2042255000000</v>
      </c>
      <c r="M66" s="9">
        <v>2042255000000</v>
      </c>
      <c r="N66" s="9">
        <v>2042255000000</v>
      </c>
      <c r="O66" s="9">
        <v>2042255000000</v>
      </c>
      <c r="P66" s="9">
        <v>2042255000000</v>
      </c>
      <c r="Q66" s="9">
        <v>2042255000000</v>
      </c>
      <c r="R66" s="9">
        <v>1984937000000</v>
      </c>
      <c r="S66" s="9">
        <v>1984838000000</v>
      </c>
      <c r="T66" s="9">
        <v>1984838000000</v>
      </c>
      <c r="U66" s="9">
        <v>535956000000</v>
      </c>
      <c r="V66" s="9">
        <v>535956000000</v>
      </c>
      <c r="W66" s="9">
        <v>535956000000</v>
      </c>
      <c r="X66" s="9">
        <v>535956000000</v>
      </c>
      <c r="Y66" s="9">
        <v>535956000000</v>
      </c>
      <c r="Z66" s="9">
        <v>535956000000</v>
      </c>
      <c r="AA66" s="9">
        <v>535956000000</v>
      </c>
      <c r="AB66" s="9">
        <v>535956000000</v>
      </c>
      <c r="AC66" s="9">
        <v>535956000000</v>
      </c>
      <c r="AD66" s="9">
        <v>535956000000</v>
      </c>
      <c r="AE66" s="9">
        <v>535956000000</v>
      </c>
      <c r="AF66" s="9">
        <v>535956000000</v>
      </c>
      <c r="AG66" s="9">
        <v>535956000000</v>
      </c>
      <c r="AH66" s="9">
        <v>535956000000</v>
      </c>
      <c r="AI66" s="9">
        <v>535956000000</v>
      </c>
      <c r="AJ66" s="9">
        <v>535956000000</v>
      </c>
      <c r="AK66" s="9">
        <v>535956000000</v>
      </c>
      <c r="AL66" s="9">
        <v>535956000000</v>
      </c>
      <c r="AM66" s="9">
        <v>535956000000</v>
      </c>
      <c r="AN66" s="9">
        <v>535956000000</v>
      </c>
      <c r="AO66" s="9">
        <v>1274874000000</v>
      </c>
      <c r="AP66" s="9">
        <v>1274874000000</v>
      </c>
      <c r="AQ66" s="9">
        <v>1274857000000</v>
      </c>
    </row>
    <row r="67" spans="1:43" x14ac:dyDescent="0.25">
      <c r="A67" s="12" t="s">
        <v>59</v>
      </c>
      <c r="B67" s="10">
        <v>-2000000</v>
      </c>
      <c r="C67" s="10">
        <v>-2000000</v>
      </c>
      <c r="D67" s="10">
        <v>-2000000</v>
      </c>
      <c r="E67" s="10">
        <v>-2000000</v>
      </c>
      <c r="F67" s="10">
        <v>-2000000</v>
      </c>
      <c r="G67" s="10">
        <v>-2000000</v>
      </c>
      <c r="H67" s="10">
        <v>-2000000</v>
      </c>
      <c r="I67" s="10">
        <v>-2000000</v>
      </c>
      <c r="J67" s="10">
        <v>-2000000</v>
      </c>
      <c r="K67" s="10">
        <v>-2000000</v>
      </c>
      <c r="L67" s="10">
        <v>-2000000</v>
      </c>
      <c r="M67" s="10">
        <v>-2000000</v>
      </c>
      <c r="N67" s="10">
        <v>-2000000</v>
      </c>
      <c r="O67" s="10">
        <v>-2000000</v>
      </c>
      <c r="P67" s="10">
        <v>-2000000</v>
      </c>
      <c r="Q67" s="9">
        <v>-158929000000</v>
      </c>
      <c r="R67" s="9">
        <v>-413365000000</v>
      </c>
      <c r="S67" s="9">
        <v>-413420000000</v>
      </c>
      <c r="T67" s="9">
        <v>-413420000000</v>
      </c>
      <c r="U67" s="9">
        <v>-413448000000</v>
      </c>
      <c r="V67" s="9">
        <v>-413448000000</v>
      </c>
      <c r="W67" s="9">
        <v>-413448000000</v>
      </c>
      <c r="X67" s="10">
        <v>-413448000000</v>
      </c>
      <c r="Y67" s="9">
        <v>-413448000000</v>
      </c>
      <c r="Z67" s="9">
        <v>-413448000000</v>
      </c>
      <c r="AA67" s="9">
        <v>-413448000000</v>
      </c>
      <c r="AB67" s="9">
        <v>-413448000000</v>
      </c>
      <c r="AC67" s="9">
        <v>-413448000000</v>
      </c>
      <c r="AD67" s="9">
        <v>-413448000000</v>
      </c>
      <c r="AE67" s="9">
        <v>-413448000000</v>
      </c>
      <c r="AF67" s="9">
        <v>-413448000000</v>
      </c>
      <c r="AG67" s="9">
        <v>-413448000000</v>
      </c>
      <c r="AH67" s="9">
        <v>-413448000000</v>
      </c>
      <c r="AI67" s="9">
        <v>-413448000000</v>
      </c>
      <c r="AJ67" s="9">
        <v>-413448000000</v>
      </c>
      <c r="AK67" s="9">
        <v>-413448000000</v>
      </c>
      <c r="AL67" s="9">
        <v>-413448000000</v>
      </c>
      <c r="AM67" s="9">
        <v>-413448000000</v>
      </c>
      <c r="AN67" s="9">
        <v>-413448000000</v>
      </c>
      <c r="AO67" s="10">
        <v>0</v>
      </c>
      <c r="AP67" s="10">
        <v>0</v>
      </c>
      <c r="AQ67" s="10">
        <v>0</v>
      </c>
    </row>
    <row r="68" spans="1:43" x14ac:dyDescent="0.25">
      <c r="A68" s="12" t="s">
        <v>60</v>
      </c>
      <c r="B68" s="10">
        <v>0</v>
      </c>
      <c r="C68" s="10">
        <v>0</v>
      </c>
      <c r="D68" s="10">
        <v>0</v>
      </c>
      <c r="E68" s="10">
        <v>0</v>
      </c>
      <c r="F68" s="10">
        <v>0</v>
      </c>
      <c r="G68" s="10">
        <v>0</v>
      </c>
      <c r="H68" s="10">
        <v>0</v>
      </c>
      <c r="I68" s="10">
        <v>0</v>
      </c>
      <c r="J68" s="10">
        <v>0</v>
      </c>
      <c r="K68" s="10">
        <v>0</v>
      </c>
      <c r="L68" s="10">
        <v>0</v>
      </c>
      <c r="M68" s="10">
        <v>0</v>
      </c>
      <c r="N68" s="10">
        <v>0</v>
      </c>
      <c r="O68" s="10">
        <v>0</v>
      </c>
      <c r="P68" s="10">
        <v>0</v>
      </c>
      <c r="Q68" s="10">
        <v>0</v>
      </c>
      <c r="R68" s="10">
        <v>0</v>
      </c>
      <c r="S68" s="10">
        <v>0</v>
      </c>
      <c r="T68" s="10">
        <v>0</v>
      </c>
      <c r="U68" s="10">
        <v>0</v>
      </c>
      <c r="V68" s="10">
        <v>0</v>
      </c>
      <c r="W68" s="10">
        <v>0</v>
      </c>
      <c r="X68" s="10">
        <v>0</v>
      </c>
      <c r="Y68" s="10">
        <v>0</v>
      </c>
      <c r="Z68" s="10">
        <v>0</v>
      </c>
      <c r="AA68" s="10">
        <v>0</v>
      </c>
      <c r="AB68" s="10">
        <v>0</v>
      </c>
      <c r="AC68" s="10">
        <v>0</v>
      </c>
      <c r="AD68" s="10">
        <v>0</v>
      </c>
      <c r="AE68" s="10">
        <v>0</v>
      </c>
      <c r="AF68" s="10">
        <v>0</v>
      </c>
      <c r="AG68" s="10">
        <v>0</v>
      </c>
      <c r="AH68" s="10">
        <v>0</v>
      </c>
      <c r="AI68" s="10">
        <v>0</v>
      </c>
      <c r="AJ68" s="10">
        <v>0</v>
      </c>
      <c r="AK68" s="10">
        <v>0</v>
      </c>
      <c r="AL68" s="10">
        <v>0</v>
      </c>
      <c r="AM68" s="10">
        <v>0</v>
      </c>
      <c r="AN68" s="10">
        <v>0</v>
      </c>
      <c r="AO68" s="10">
        <v>0</v>
      </c>
      <c r="AP68" s="10">
        <v>0</v>
      </c>
      <c r="AQ68" s="10">
        <v>0</v>
      </c>
    </row>
    <row r="69" spans="1:43" x14ac:dyDescent="0.25">
      <c r="A69" s="12" t="s">
        <v>61</v>
      </c>
      <c r="B69" s="10">
        <v>0</v>
      </c>
      <c r="C69" s="10">
        <v>0</v>
      </c>
      <c r="D69" s="10">
        <v>0</v>
      </c>
      <c r="E69" s="10">
        <v>0</v>
      </c>
      <c r="F69" s="10">
        <v>0</v>
      </c>
      <c r="G69" s="10">
        <v>0</v>
      </c>
      <c r="H69" s="10">
        <v>0</v>
      </c>
      <c r="I69" s="10">
        <v>0</v>
      </c>
      <c r="J69" s="10">
        <v>0</v>
      </c>
      <c r="K69" s="10">
        <v>0</v>
      </c>
      <c r="L69" s="10">
        <v>0</v>
      </c>
      <c r="M69" s="10">
        <v>0</v>
      </c>
      <c r="N69" s="10">
        <v>0</v>
      </c>
      <c r="O69" s="10">
        <v>0</v>
      </c>
      <c r="P69" s="10">
        <v>0</v>
      </c>
      <c r="Q69" s="10">
        <v>0</v>
      </c>
      <c r="R69" s="10">
        <v>0</v>
      </c>
      <c r="S69" s="10">
        <v>0</v>
      </c>
      <c r="T69" s="10">
        <v>0</v>
      </c>
      <c r="U69" s="10">
        <v>0</v>
      </c>
      <c r="V69" s="10">
        <v>0</v>
      </c>
      <c r="W69" s="10">
        <v>0</v>
      </c>
      <c r="X69" s="10">
        <v>0</v>
      </c>
      <c r="Y69" s="10">
        <v>0</v>
      </c>
      <c r="Z69" s="10">
        <v>0</v>
      </c>
      <c r="AA69" s="10">
        <v>0</v>
      </c>
      <c r="AB69" s="10">
        <v>0</v>
      </c>
      <c r="AC69" s="10">
        <v>0</v>
      </c>
      <c r="AD69" s="10">
        <v>0</v>
      </c>
      <c r="AE69" s="10">
        <v>0</v>
      </c>
      <c r="AF69" s="10">
        <v>0</v>
      </c>
      <c r="AG69" s="10">
        <v>0</v>
      </c>
      <c r="AH69" s="10">
        <v>0</v>
      </c>
      <c r="AI69" s="10">
        <v>0</v>
      </c>
      <c r="AJ69" s="10">
        <v>0</v>
      </c>
      <c r="AK69" s="10">
        <v>0</v>
      </c>
      <c r="AL69" s="10">
        <v>0</v>
      </c>
      <c r="AM69" s="10">
        <v>0</v>
      </c>
      <c r="AN69" s="10">
        <v>0</v>
      </c>
      <c r="AO69" s="10">
        <v>0</v>
      </c>
      <c r="AP69" s="10">
        <v>0</v>
      </c>
      <c r="AQ69" s="10">
        <v>0</v>
      </c>
    </row>
    <row r="70" spans="1:43" x14ac:dyDescent="0.25">
      <c r="A70" s="8" t="s">
        <v>62</v>
      </c>
      <c r="B70" s="9">
        <v>378066000000</v>
      </c>
      <c r="C70" s="9">
        <v>439283000000</v>
      </c>
      <c r="D70" s="9">
        <v>439283000000</v>
      </c>
      <c r="E70" s="9">
        <v>465280000000</v>
      </c>
      <c r="F70" s="9">
        <v>462622000000</v>
      </c>
      <c r="G70" s="9">
        <v>463362000000</v>
      </c>
      <c r="H70" s="9">
        <v>585757000000</v>
      </c>
      <c r="I70" s="9">
        <v>453708000000</v>
      </c>
      <c r="J70" s="9">
        <v>452344000000</v>
      </c>
      <c r="K70" s="9">
        <v>726426000000</v>
      </c>
      <c r="L70" s="9">
        <v>725546000000</v>
      </c>
      <c r="M70" s="9">
        <v>775800000000</v>
      </c>
      <c r="N70" s="9">
        <v>774036000000</v>
      </c>
      <c r="O70" s="9">
        <v>1189799000000</v>
      </c>
      <c r="P70" s="9">
        <v>1189112000000</v>
      </c>
      <c r="Q70" s="9">
        <v>1248389000000</v>
      </c>
      <c r="R70" s="9">
        <v>1246161000000</v>
      </c>
      <c r="S70" s="9">
        <v>1787170000000</v>
      </c>
      <c r="T70" s="9">
        <v>1789350000000</v>
      </c>
      <c r="U70" s="9">
        <v>1847081000000</v>
      </c>
      <c r="V70" s="9">
        <v>1844467000000</v>
      </c>
      <c r="W70" s="9">
        <v>2492954000000</v>
      </c>
      <c r="X70" s="9">
        <v>2492954000000</v>
      </c>
      <c r="Y70" s="9">
        <v>2547465000000</v>
      </c>
      <c r="Z70" s="9">
        <v>2537221000000</v>
      </c>
      <c r="AA70" s="9">
        <v>3465914000000</v>
      </c>
      <c r="AB70" s="9">
        <v>3465624000000</v>
      </c>
      <c r="AC70" s="9">
        <v>3527727000000</v>
      </c>
      <c r="AD70" s="9">
        <v>3522957000000</v>
      </c>
      <c r="AE70" s="9">
        <v>4692965000000</v>
      </c>
      <c r="AF70" s="9">
        <v>4685355000000</v>
      </c>
      <c r="AG70" s="9">
        <v>4708243000000</v>
      </c>
      <c r="AH70" s="9">
        <v>4707618000000</v>
      </c>
      <c r="AI70" s="9">
        <v>6259588000000</v>
      </c>
      <c r="AJ70" s="9">
        <v>6257868000000</v>
      </c>
      <c r="AK70" s="9">
        <v>6313202000000</v>
      </c>
      <c r="AL70" s="9">
        <v>6321741000000</v>
      </c>
      <c r="AM70" s="9">
        <v>8833680000000</v>
      </c>
      <c r="AN70" s="9">
        <v>8781740000000</v>
      </c>
      <c r="AO70" s="9">
        <v>7075159000000</v>
      </c>
      <c r="AP70" s="9">
        <v>10041541000000</v>
      </c>
      <c r="AQ70" s="9">
        <v>10071382000000</v>
      </c>
    </row>
    <row r="71" spans="1:43" x14ac:dyDescent="0.25">
      <c r="A71" s="8" t="s">
        <v>63</v>
      </c>
      <c r="B71" s="9">
        <v>-12711000000</v>
      </c>
      <c r="C71" s="9">
        <v>4528000000</v>
      </c>
      <c r="D71" s="9">
        <v>-14042000000</v>
      </c>
      <c r="E71" s="10">
        <v>0</v>
      </c>
      <c r="F71" s="9">
        <v>-2131000000</v>
      </c>
      <c r="G71" s="9">
        <v>-4010000000</v>
      </c>
      <c r="H71" s="9">
        <v>-36955000000</v>
      </c>
      <c r="I71" s="10">
        <v>0</v>
      </c>
      <c r="J71" s="9">
        <v>37605000000</v>
      </c>
      <c r="K71" s="9">
        <v>17644000000</v>
      </c>
      <c r="L71" s="9">
        <v>16624000000</v>
      </c>
      <c r="M71" s="10">
        <v>0</v>
      </c>
      <c r="N71" s="9">
        <v>8057000000</v>
      </c>
      <c r="O71" s="9">
        <v>7244000000</v>
      </c>
      <c r="P71" s="9">
        <v>9091000000</v>
      </c>
      <c r="Q71" s="10">
        <v>0</v>
      </c>
      <c r="R71" s="9">
        <v>19370000000</v>
      </c>
      <c r="S71" s="9">
        <v>15159000000</v>
      </c>
      <c r="T71" s="9">
        <v>27795000000</v>
      </c>
      <c r="U71" s="10">
        <v>0</v>
      </c>
      <c r="V71" s="9">
        <v>29923000000</v>
      </c>
      <c r="W71" s="9">
        <v>37952000000</v>
      </c>
      <c r="X71" s="9">
        <v>64586000000</v>
      </c>
      <c r="Y71" s="10">
        <v>0</v>
      </c>
      <c r="Z71" s="9">
        <v>13793000000</v>
      </c>
      <c r="AA71" s="9">
        <v>-13793000000</v>
      </c>
      <c r="AB71" s="9">
        <v>-37318000000</v>
      </c>
      <c r="AC71" s="10">
        <v>0</v>
      </c>
      <c r="AD71" s="9">
        <v>18963000000</v>
      </c>
      <c r="AE71" s="9">
        <v>16034000000</v>
      </c>
      <c r="AF71" s="9">
        <v>57320000000</v>
      </c>
      <c r="AG71" s="10">
        <v>0</v>
      </c>
      <c r="AH71" s="9">
        <v>87381000000</v>
      </c>
      <c r="AI71" s="9">
        <v>-28143000000</v>
      </c>
      <c r="AJ71" s="9">
        <v>98756000000</v>
      </c>
      <c r="AK71" s="10">
        <v>0</v>
      </c>
      <c r="AL71" s="9">
        <v>30876000000</v>
      </c>
      <c r="AM71" s="9">
        <v>-26977000000</v>
      </c>
      <c r="AN71" s="9">
        <v>6836000000</v>
      </c>
      <c r="AO71" s="10">
        <v>0</v>
      </c>
      <c r="AP71" s="9">
        <v>8163000000</v>
      </c>
      <c r="AQ71" s="9">
        <v>-11673000000</v>
      </c>
    </row>
    <row r="72" spans="1:43" x14ac:dyDescent="0.25">
      <c r="A72" s="8" t="s">
        <v>64</v>
      </c>
      <c r="B72" s="10">
        <v>0</v>
      </c>
      <c r="C72" s="10">
        <v>0</v>
      </c>
      <c r="D72" s="10">
        <v>0</v>
      </c>
      <c r="E72" s="10">
        <v>0</v>
      </c>
      <c r="F72" s="10">
        <v>0</v>
      </c>
      <c r="G72" s="10">
        <v>0</v>
      </c>
      <c r="H72" s="10">
        <v>0</v>
      </c>
      <c r="I72" s="10">
        <v>0</v>
      </c>
      <c r="J72" s="10">
        <v>0</v>
      </c>
      <c r="K72" s="10">
        <v>0</v>
      </c>
      <c r="L72" s="10">
        <v>0</v>
      </c>
      <c r="M72" s="10">
        <v>0</v>
      </c>
      <c r="N72" s="10">
        <v>0</v>
      </c>
      <c r="O72" s="10">
        <v>0</v>
      </c>
      <c r="P72" s="10">
        <v>0</v>
      </c>
      <c r="Q72" s="10">
        <v>0</v>
      </c>
      <c r="R72" s="10">
        <v>0</v>
      </c>
      <c r="S72" s="10">
        <v>0</v>
      </c>
      <c r="T72" s="10">
        <v>0</v>
      </c>
      <c r="U72" s="10">
        <v>0</v>
      </c>
      <c r="V72" s="10">
        <v>0</v>
      </c>
      <c r="W72" s="10">
        <v>0</v>
      </c>
      <c r="X72" s="10">
        <v>0</v>
      </c>
      <c r="Y72" s="10">
        <v>0</v>
      </c>
      <c r="Z72" s="10">
        <v>0</v>
      </c>
      <c r="AA72" s="10">
        <v>0</v>
      </c>
      <c r="AB72" s="10">
        <v>0</v>
      </c>
      <c r="AC72" s="10">
        <v>0</v>
      </c>
      <c r="AD72" s="10">
        <v>0</v>
      </c>
      <c r="AE72" s="10">
        <v>0</v>
      </c>
      <c r="AF72" s="10">
        <v>0</v>
      </c>
      <c r="AG72" s="10">
        <v>0</v>
      </c>
      <c r="AH72" s="10">
        <v>0</v>
      </c>
      <c r="AI72" s="10">
        <v>0</v>
      </c>
      <c r="AJ72" s="10">
        <v>0</v>
      </c>
      <c r="AK72" s="10">
        <v>0</v>
      </c>
      <c r="AL72" s="10">
        <v>0</v>
      </c>
      <c r="AM72" s="10">
        <v>0</v>
      </c>
      <c r="AN72" s="10">
        <v>0</v>
      </c>
      <c r="AO72" s="10">
        <v>0</v>
      </c>
      <c r="AP72" s="10">
        <v>0</v>
      </c>
      <c r="AQ72" s="10">
        <v>0</v>
      </c>
    </row>
    <row r="73" spans="1:43" x14ac:dyDescent="0.25">
      <c r="A73" s="8" t="s">
        <v>65</v>
      </c>
      <c r="B73" s="9">
        <v>1143507000000</v>
      </c>
      <c r="C73" s="9">
        <v>276315000000</v>
      </c>
      <c r="D73" s="9">
        <v>547633000000</v>
      </c>
      <c r="E73" s="9">
        <v>747047000000</v>
      </c>
      <c r="F73" s="9">
        <v>1014205000000</v>
      </c>
      <c r="G73" s="9">
        <v>1364964000000</v>
      </c>
      <c r="H73" s="9">
        <v>2017947000000</v>
      </c>
      <c r="I73" s="9">
        <v>1769492000000</v>
      </c>
      <c r="J73" s="9">
        <v>2526763000000</v>
      </c>
      <c r="K73" s="9">
        <v>2987646000000</v>
      </c>
      <c r="L73" s="9">
        <v>2279482000000</v>
      </c>
      <c r="M73" s="9">
        <v>3007022000000</v>
      </c>
      <c r="N73" s="9">
        <v>3805844000000</v>
      </c>
      <c r="O73" s="9">
        <v>4171307000000</v>
      </c>
      <c r="P73" s="9">
        <v>5069988000000</v>
      </c>
      <c r="Q73" s="9">
        <v>6130768000000</v>
      </c>
      <c r="R73" s="9">
        <v>7019397000000</v>
      </c>
      <c r="S73" s="9">
        <v>7678938000000</v>
      </c>
      <c r="T73" s="9">
        <v>8768067000000</v>
      </c>
      <c r="U73" s="9">
        <v>4938967000000</v>
      </c>
      <c r="V73" s="9">
        <v>6502578000000</v>
      </c>
      <c r="W73" s="9">
        <v>7395450000000</v>
      </c>
      <c r="X73" s="9">
        <v>8826515000000</v>
      </c>
      <c r="Y73" s="9">
        <v>6290473000000</v>
      </c>
      <c r="Z73" s="9">
        <v>8206256000000</v>
      </c>
      <c r="AA73" s="9">
        <v>9344689000000</v>
      </c>
      <c r="AB73" s="9">
        <v>11360677000000</v>
      </c>
      <c r="AC73" s="9">
        <v>7999785000000</v>
      </c>
      <c r="AD73" s="9">
        <v>10087795000000</v>
      </c>
      <c r="AE73" s="9">
        <v>8548698000000</v>
      </c>
      <c r="AF73" s="9">
        <v>7256245000000</v>
      </c>
      <c r="AG73" s="9">
        <v>10561698000000</v>
      </c>
      <c r="AH73" s="9">
        <v>13671470000000</v>
      </c>
      <c r="AI73" s="9">
        <v>15223523000000</v>
      </c>
      <c r="AJ73" s="9">
        <v>15734849000000</v>
      </c>
      <c r="AK73" s="9">
        <v>12954121000000</v>
      </c>
      <c r="AL73" s="9">
        <v>17166824000000</v>
      </c>
      <c r="AM73" s="9">
        <v>18145365000000</v>
      </c>
      <c r="AN73" s="9">
        <v>21792003000000</v>
      </c>
      <c r="AO73" s="9">
        <v>17146327000000</v>
      </c>
      <c r="AP73" s="9">
        <v>18957688000000</v>
      </c>
      <c r="AQ73" s="9">
        <v>24456838000000</v>
      </c>
    </row>
    <row r="74" spans="1:43" x14ac:dyDescent="0.25">
      <c r="A74" s="8" t="s">
        <v>66</v>
      </c>
      <c r="B74" s="6">
        <v>0</v>
      </c>
      <c r="C74" s="6">
        <v>0</v>
      </c>
      <c r="D74" s="6">
        <v>0</v>
      </c>
      <c r="E74" s="6">
        <v>0</v>
      </c>
      <c r="F74" s="6">
        <v>0</v>
      </c>
      <c r="G74" s="6">
        <v>0</v>
      </c>
      <c r="H74" s="6">
        <v>0</v>
      </c>
      <c r="I74" s="6">
        <v>0</v>
      </c>
      <c r="J74" s="6">
        <v>0</v>
      </c>
      <c r="K74" s="6">
        <v>0</v>
      </c>
      <c r="L74" s="6">
        <v>0</v>
      </c>
      <c r="M74" s="6">
        <v>0</v>
      </c>
      <c r="N74" s="6">
        <v>0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0</v>
      </c>
      <c r="V74" s="6">
        <v>0</v>
      </c>
      <c r="W74" s="6">
        <v>0</v>
      </c>
      <c r="X74" s="6">
        <v>0</v>
      </c>
      <c r="Y74" s="6">
        <v>0</v>
      </c>
      <c r="Z74" s="6">
        <v>0</v>
      </c>
      <c r="AA74" s="6">
        <v>0</v>
      </c>
      <c r="AB74" s="6">
        <v>0</v>
      </c>
      <c r="AC74" s="6">
        <v>0</v>
      </c>
      <c r="AD74" s="6">
        <v>0</v>
      </c>
      <c r="AE74" s="6">
        <v>0</v>
      </c>
      <c r="AF74" s="6">
        <v>0</v>
      </c>
      <c r="AG74" s="6">
        <v>0</v>
      </c>
      <c r="AH74" s="6">
        <v>0</v>
      </c>
      <c r="AI74" s="6">
        <v>0</v>
      </c>
      <c r="AJ74" s="6">
        <v>0</v>
      </c>
      <c r="AK74" s="6">
        <v>0</v>
      </c>
      <c r="AL74" s="6">
        <v>0</v>
      </c>
      <c r="AM74" s="6">
        <v>0</v>
      </c>
      <c r="AN74" s="6">
        <v>0</v>
      </c>
      <c r="AO74" s="6">
        <v>0</v>
      </c>
      <c r="AP74" s="6">
        <v>0</v>
      </c>
      <c r="AQ74" s="6">
        <v>0</v>
      </c>
    </row>
    <row r="75" spans="1:43" x14ac:dyDescent="0.25">
      <c r="A75" s="5" t="s">
        <v>67</v>
      </c>
      <c r="B75" s="6">
        <v>485026000000</v>
      </c>
      <c r="C75" s="6">
        <v>528159000000</v>
      </c>
      <c r="D75" s="6">
        <v>577584000000</v>
      </c>
      <c r="E75" s="6">
        <v>625630000000</v>
      </c>
      <c r="F75" s="6">
        <v>668068000000</v>
      </c>
      <c r="G75" s="6">
        <v>719843000000</v>
      </c>
      <c r="H75" s="6">
        <v>615403000000</v>
      </c>
      <c r="I75" s="6">
        <v>683549000000</v>
      </c>
      <c r="J75" s="6">
        <v>910203000000</v>
      </c>
      <c r="K75" s="6">
        <v>992073000000</v>
      </c>
      <c r="L75" s="6">
        <v>1080568000000</v>
      </c>
      <c r="M75" s="6">
        <v>1192976000000</v>
      </c>
      <c r="N75" s="6">
        <v>1272880000000</v>
      </c>
      <c r="O75" s="6">
        <v>1382883000000</v>
      </c>
      <c r="P75" s="6">
        <v>1473241000000</v>
      </c>
      <c r="Q75" s="6">
        <v>1308544000000</v>
      </c>
      <c r="R75" s="6">
        <v>1721220000000</v>
      </c>
      <c r="S75" s="6">
        <v>1831068000000</v>
      </c>
      <c r="T75" s="6">
        <v>1918443000000</v>
      </c>
      <c r="U75" s="6">
        <v>1706692000000</v>
      </c>
      <c r="V75" s="6">
        <v>1823419000000</v>
      </c>
      <c r="W75" s="6">
        <v>1593015000000</v>
      </c>
      <c r="X75" s="6">
        <v>1674988000000</v>
      </c>
      <c r="Y75" s="6">
        <v>1756671000000</v>
      </c>
      <c r="Z75" s="6">
        <v>1858712000000</v>
      </c>
      <c r="AA75" s="6">
        <v>2174678000000</v>
      </c>
      <c r="AB75" s="6">
        <v>1978179000000</v>
      </c>
      <c r="AC75" s="6">
        <v>2041348000000</v>
      </c>
      <c r="AD75" s="6">
        <v>1772050000000</v>
      </c>
      <c r="AE75" s="6">
        <v>1793025000000</v>
      </c>
      <c r="AF75" s="6">
        <v>1827743000000</v>
      </c>
      <c r="AG75" s="6">
        <v>1931463000000</v>
      </c>
      <c r="AH75" s="6">
        <v>2034863000000</v>
      </c>
      <c r="AI75" s="6">
        <v>2171824000000</v>
      </c>
      <c r="AJ75" s="6">
        <v>2293584000000</v>
      </c>
      <c r="AK75" s="6">
        <v>2166158000000</v>
      </c>
      <c r="AL75" s="6">
        <v>2289076000000</v>
      </c>
      <c r="AM75" s="6">
        <v>2450275000000</v>
      </c>
      <c r="AN75" s="6">
        <v>2602454000000</v>
      </c>
      <c r="AO75" s="6">
        <v>2715392000000</v>
      </c>
      <c r="AP75" s="6">
        <v>2850890000000</v>
      </c>
      <c r="AQ75" s="6">
        <v>4379765000000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2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5.125" defaultRowHeight="15" x14ac:dyDescent="0.25"/>
  <cols>
    <col min="1" max="1" width="51.75" style="2" bestFit="1" customWidth="1"/>
    <col min="2" max="3" width="15" style="2" bestFit="1" customWidth="1"/>
    <col min="4" max="4" width="19.125" style="2" bestFit="1" customWidth="1"/>
    <col min="5" max="29" width="15" style="2" bestFit="1" customWidth="1"/>
    <col min="30" max="41" width="15.25" style="2" bestFit="1" customWidth="1"/>
    <col min="42" max="43" width="15.875" style="2" bestFit="1" customWidth="1"/>
    <col min="44" max="16384" width="5.125" style="2"/>
  </cols>
  <sheetData>
    <row r="1" spans="1:43" x14ac:dyDescent="0.25"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  <c r="G1" s="1" t="s">
        <v>73</v>
      </c>
      <c r="H1" s="1" t="s">
        <v>74</v>
      </c>
      <c r="I1" s="1" t="s">
        <v>75</v>
      </c>
      <c r="J1" s="1" t="s">
        <v>76</v>
      </c>
      <c r="K1" s="1" t="s">
        <v>77</v>
      </c>
      <c r="L1" s="1" t="s">
        <v>78</v>
      </c>
      <c r="M1" s="1" t="s">
        <v>79</v>
      </c>
      <c r="N1" s="1" t="s">
        <v>80</v>
      </c>
      <c r="O1" s="1" t="s">
        <v>81</v>
      </c>
      <c r="P1" s="1" t="s">
        <v>82</v>
      </c>
      <c r="Q1" s="1" t="s">
        <v>83</v>
      </c>
      <c r="R1" s="1" t="s">
        <v>84</v>
      </c>
      <c r="S1" s="1" t="s">
        <v>85</v>
      </c>
      <c r="T1" s="1" t="s">
        <v>86</v>
      </c>
      <c r="U1" s="1" t="s">
        <v>87</v>
      </c>
      <c r="V1" s="1" t="s">
        <v>88</v>
      </c>
      <c r="W1" s="1" t="s">
        <v>89</v>
      </c>
      <c r="X1" s="1" t="s">
        <v>90</v>
      </c>
      <c r="Y1" s="1" t="s">
        <v>91</v>
      </c>
      <c r="Z1" s="1" t="s">
        <v>92</v>
      </c>
      <c r="AA1" s="1" t="s">
        <v>93</v>
      </c>
      <c r="AB1" s="1" t="s">
        <v>94</v>
      </c>
      <c r="AC1" s="1" t="s">
        <v>95</v>
      </c>
      <c r="AD1" s="1" t="s">
        <v>96</v>
      </c>
      <c r="AE1" s="1" t="s">
        <v>97</v>
      </c>
      <c r="AF1" s="1" t="s">
        <v>98</v>
      </c>
      <c r="AG1" s="1" t="s">
        <v>99</v>
      </c>
      <c r="AH1" s="1" t="s">
        <v>100</v>
      </c>
      <c r="AI1" s="1" t="s">
        <v>101</v>
      </c>
      <c r="AJ1" s="1" t="s">
        <v>102</v>
      </c>
      <c r="AK1" s="1" t="s">
        <v>103</v>
      </c>
      <c r="AL1" s="1" t="s">
        <v>104</v>
      </c>
      <c r="AM1" s="1" t="s">
        <v>105</v>
      </c>
      <c r="AN1" s="1" t="s">
        <v>106</v>
      </c>
      <c r="AO1" s="1" t="s">
        <v>107</v>
      </c>
      <c r="AP1" s="1" t="s">
        <v>108</v>
      </c>
      <c r="AQ1" s="1" t="s">
        <v>109</v>
      </c>
    </row>
    <row r="2" spans="1:43" x14ac:dyDescent="0.25">
      <c r="A2" s="3" t="s">
        <v>110</v>
      </c>
      <c r="B2" s="6">
        <v>1020925000000</v>
      </c>
      <c r="C2" s="6">
        <v>1187701000000</v>
      </c>
      <c r="D2" s="6">
        <v>1176407000000</v>
      </c>
      <c r="E2" s="6">
        <v>1293047000000</v>
      </c>
      <c r="F2" s="6">
        <v>1356097000000</v>
      </c>
      <c r="G2" s="6">
        <v>1376433000000</v>
      </c>
      <c r="H2" s="6">
        <v>1897475000000</v>
      </c>
      <c r="I2" s="6">
        <v>1744818000000</v>
      </c>
      <c r="J2" s="6">
        <v>1831440000000</v>
      </c>
      <c r="K2" s="6">
        <v>1884382000000</v>
      </c>
      <c r="L2" s="6">
        <v>1768706000000</v>
      </c>
      <c r="M2" s="6">
        <v>2161165000000</v>
      </c>
      <c r="N2" s="6">
        <v>2029910000000</v>
      </c>
      <c r="O2" s="6">
        <v>2323741000000</v>
      </c>
      <c r="P2" s="6">
        <v>2504870000000</v>
      </c>
      <c r="Q2" s="6">
        <v>2888034000000</v>
      </c>
      <c r="R2" s="6">
        <v>2883597000000</v>
      </c>
      <c r="S2" s="6">
        <v>2709540000000</v>
      </c>
      <c r="T2" s="6">
        <v>3021583000000</v>
      </c>
      <c r="U2" s="6">
        <v>3212161000000</v>
      </c>
      <c r="V2" s="6">
        <v>3362798000000</v>
      </c>
      <c r="W2" s="6">
        <v>3468701000000</v>
      </c>
      <c r="X2" s="6">
        <v>3306282000000</v>
      </c>
      <c r="Y2" s="6">
        <v>3752996000000</v>
      </c>
      <c r="Z2" s="6">
        <v>4043391000000</v>
      </c>
      <c r="AA2" s="6">
        <v>4551225000000</v>
      </c>
      <c r="AB2" s="6">
        <v>4484850000000</v>
      </c>
      <c r="AC2" s="6">
        <v>4932102000000</v>
      </c>
      <c r="AD2" s="6">
        <v>4840808000000</v>
      </c>
      <c r="AE2" s="6">
        <v>4954515000000</v>
      </c>
      <c r="AF2" s="6">
        <v>4916148000000</v>
      </c>
      <c r="AG2" s="6">
        <v>7472503000000</v>
      </c>
      <c r="AH2" s="6">
        <v>7160350000000</v>
      </c>
      <c r="AI2" s="6">
        <v>7719878000000</v>
      </c>
      <c r="AJ2" s="6">
        <v>7773445000000</v>
      </c>
      <c r="AK2" s="6">
        <v>8202720000000</v>
      </c>
      <c r="AL2" s="6">
        <v>7408100000000</v>
      </c>
      <c r="AM2" s="6">
        <v>9819158000000</v>
      </c>
      <c r="AN2" s="6">
        <v>7763322000000</v>
      </c>
      <c r="AO2" s="6">
        <v>9755610000000</v>
      </c>
      <c r="AP2" s="6">
        <v>8483022000000</v>
      </c>
      <c r="AQ2" s="6">
        <v>9737015000000</v>
      </c>
    </row>
    <row r="3" spans="1:43" x14ac:dyDescent="0.25">
      <c r="A3" s="5" t="s">
        <v>111</v>
      </c>
      <c r="B3" s="6">
        <v>2426913000000</v>
      </c>
      <c r="C3" s="6">
        <v>2765885000000</v>
      </c>
      <c r="D3" s="6">
        <v>2931153000000</v>
      </c>
      <c r="E3" s="6">
        <v>3197351000000</v>
      </c>
      <c r="F3" s="6">
        <v>3418804000000</v>
      </c>
      <c r="G3" s="6">
        <v>3570885000000</v>
      </c>
      <c r="H3" s="6">
        <v>4031649000000</v>
      </c>
      <c r="I3" s="6">
        <v>3937743000000</v>
      </c>
      <c r="J3" s="6">
        <v>3934542000000</v>
      </c>
      <c r="K3" s="6">
        <v>4082051000000</v>
      </c>
      <c r="L3" s="6">
        <v>4189507000000</v>
      </c>
      <c r="M3" s="6">
        <v>4742202000000</v>
      </c>
      <c r="N3" s="6">
        <v>4441050000000</v>
      </c>
      <c r="O3" s="6">
        <v>4784781000000</v>
      </c>
      <c r="P3" s="6">
        <v>4972939000000</v>
      </c>
      <c r="Q3" s="6">
        <v>5419297000000</v>
      </c>
      <c r="R3" s="6">
        <v>5452225000000</v>
      </c>
      <c r="S3" s="6">
        <v>5437647000000</v>
      </c>
      <c r="T3" s="6">
        <v>6034635000000</v>
      </c>
      <c r="U3" s="6">
        <v>6212739000000</v>
      </c>
      <c r="V3" s="6">
        <v>6339908000000</v>
      </c>
      <c r="W3" s="6">
        <v>6593587000000</v>
      </c>
      <c r="X3" s="6">
        <v>6468666000000</v>
      </c>
      <c r="Y3" s="6">
        <v>6774049000000</v>
      </c>
      <c r="Z3" s="6">
        <v>7181161000000</v>
      </c>
      <c r="AA3" s="6">
        <v>8079518000000</v>
      </c>
      <c r="AB3" s="6">
        <v>8287175000000</v>
      </c>
      <c r="AC3" s="6">
        <v>9775550000000</v>
      </c>
      <c r="AD3" s="6">
        <v>11018875000000</v>
      </c>
      <c r="AE3" s="6">
        <v>12671355000000</v>
      </c>
      <c r="AF3" s="6">
        <v>13390888000000</v>
      </c>
      <c r="AG3" s="6">
        <v>15559459000000</v>
      </c>
      <c r="AH3" s="6">
        <v>14378929000000</v>
      </c>
      <c r="AI3" s="6">
        <v>14245165000000</v>
      </c>
      <c r="AJ3" s="6">
        <v>14221978000000</v>
      </c>
      <c r="AK3" s="6">
        <v>15148773000000</v>
      </c>
      <c r="AL3" s="6">
        <v>14991720000000</v>
      </c>
      <c r="AM3" s="6">
        <v>17989705000000</v>
      </c>
      <c r="AN3" s="6">
        <v>16133428000000</v>
      </c>
      <c r="AO3" s="6">
        <v>18877563000000</v>
      </c>
      <c r="AP3" s="6">
        <v>19916548000000</v>
      </c>
      <c r="AQ3" s="6">
        <v>23652782000000</v>
      </c>
    </row>
    <row r="4" spans="1:43" x14ac:dyDescent="0.25">
      <c r="A4" s="5" t="s">
        <v>112</v>
      </c>
      <c r="B4" s="6">
        <v>-1405988000000</v>
      </c>
      <c r="C4" s="6">
        <v>-1578184000000</v>
      </c>
      <c r="D4" s="6">
        <v>-1754746000000</v>
      </c>
      <c r="E4" s="6">
        <v>-1904304000000</v>
      </c>
      <c r="F4" s="6">
        <v>-2062707000000</v>
      </c>
      <c r="G4" s="6">
        <v>-2194452000000</v>
      </c>
      <c r="H4" s="6">
        <v>-2134174000000</v>
      </c>
      <c r="I4" s="6">
        <v>-2192925000000</v>
      </c>
      <c r="J4" s="6">
        <v>-2103102000000</v>
      </c>
      <c r="K4" s="6">
        <v>-2197669000000</v>
      </c>
      <c r="L4" s="6">
        <v>-2420801000000</v>
      </c>
      <c r="M4" s="6">
        <v>-2581037000000</v>
      </c>
      <c r="N4" s="6">
        <v>-2411140000000</v>
      </c>
      <c r="O4" s="6">
        <v>-2461040000000</v>
      </c>
      <c r="P4" s="6">
        <v>-2468069000000</v>
      </c>
      <c r="Q4" s="6">
        <v>-2531263000000</v>
      </c>
      <c r="R4" s="6">
        <v>-2568628000000</v>
      </c>
      <c r="S4" s="6">
        <v>-2728107000000</v>
      </c>
      <c r="T4" s="6">
        <v>-3013052000000</v>
      </c>
      <c r="U4" s="6">
        <v>-3000578000000</v>
      </c>
      <c r="V4" s="6">
        <v>-2977110000000</v>
      </c>
      <c r="W4" s="6">
        <v>-3124886000000</v>
      </c>
      <c r="X4" s="6">
        <v>-3162384000000</v>
      </c>
      <c r="Y4" s="6">
        <v>-3021053000000</v>
      </c>
      <c r="Z4" s="6">
        <v>-3137770000000</v>
      </c>
      <c r="AA4" s="6">
        <v>-3528293000000</v>
      </c>
      <c r="AB4" s="6">
        <v>-3802325000000</v>
      </c>
      <c r="AC4" s="6">
        <v>-4843448000000</v>
      </c>
      <c r="AD4" s="6">
        <v>-6178067000000</v>
      </c>
      <c r="AE4" s="6">
        <v>-7716840000000</v>
      </c>
      <c r="AF4" s="6">
        <v>-8474740000000</v>
      </c>
      <c r="AG4" s="6">
        <v>-8086956000000</v>
      </c>
      <c r="AH4" s="6">
        <v>-7218579000000</v>
      </c>
      <c r="AI4" s="6">
        <v>-6525287000000</v>
      </c>
      <c r="AJ4" s="6">
        <v>-6448533000000</v>
      </c>
      <c r="AK4" s="6">
        <v>-6946053000000</v>
      </c>
      <c r="AL4" s="6">
        <v>-7583620000000</v>
      </c>
      <c r="AM4" s="6">
        <v>-8170547000000</v>
      </c>
      <c r="AN4" s="6">
        <v>-8370106000000</v>
      </c>
      <c r="AO4" s="6">
        <v>-9121953000000</v>
      </c>
      <c r="AP4" s="6">
        <v>-11433526000000</v>
      </c>
      <c r="AQ4" s="6">
        <v>-13915767000000</v>
      </c>
    </row>
    <row r="5" spans="1:43" x14ac:dyDescent="0.25">
      <c r="A5" s="3" t="s">
        <v>113</v>
      </c>
      <c r="B5" s="6">
        <v>27316000000</v>
      </c>
      <c r="C5" s="6">
        <v>27341000000</v>
      </c>
      <c r="D5" s="6">
        <v>41546000000</v>
      </c>
      <c r="E5" s="6">
        <v>22021000000</v>
      </c>
      <c r="F5" s="6">
        <v>32265000000</v>
      </c>
      <c r="G5" s="6">
        <v>38104000000</v>
      </c>
      <c r="H5" s="6">
        <v>35111000000</v>
      </c>
      <c r="I5" s="6">
        <v>73271000000</v>
      </c>
      <c r="J5" s="6">
        <v>110879000000</v>
      </c>
      <c r="K5" s="6">
        <v>114577000000</v>
      </c>
      <c r="L5" s="6">
        <v>115441000000</v>
      </c>
      <c r="M5" s="6">
        <v>97277000000</v>
      </c>
      <c r="N5" s="6">
        <v>141848000000</v>
      </c>
      <c r="O5" s="6">
        <v>144173000000</v>
      </c>
      <c r="P5" s="6">
        <v>149117000000</v>
      </c>
      <c r="Q5" s="6">
        <v>160738000000</v>
      </c>
      <c r="R5" s="6">
        <v>158110000000</v>
      </c>
      <c r="S5" s="6">
        <v>212866000000</v>
      </c>
      <c r="T5" s="6">
        <v>328852000000</v>
      </c>
      <c r="U5" s="6">
        <v>320979000000</v>
      </c>
      <c r="V5" s="6">
        <v>313421000000</v>
      </c>
      <c r="W5" s="6">
        <v>543972000000</v>
      </c>
      <c r="X5" s="6">
        <v>328914000000</v>
      </c>
      <c r="Y5" s="6">
        <v>741131000000</v>
      </c>
      <c r="Z5" s="6">
        <v>608285000000</v>
      </c>
      <c r="AA5" s="6">
        <v>835243000000</v>
      </c>
      <c r="AB5" s="6">
        <v>693273000000</v>
      </c>
      <c r="AC5" s="6">
        <v>820017000000</v>
      </c>
      <c r="AD5" s="6">
        <v>677195000000</v>
      </c>
      <c r="AE5" s="6">
        <v>600864000000</v>
      </c>
      <c r="AF5" s="6">
        <v>317959000000</v>
      </c>
      <c r="AG5" s="6">
        <v>591784000000</v>
      </c>
      <c r="AH5" s="6">
        <v>356762000000</v>
      </c>
      <c r="AI5" s="6">
        <v>224569000000</v>
      </c>
      <c r="AJ5" s="6">
        <v>412110000000</v>
      </c>
      <c r="AK5" s="6">
        <v>423479000000</v>
      </c>
      <c r="AL5" s="6">
        <v>733290000000</v>
      </c>
      <c r="AM5" s="6">
        <v>1331560000000</v>
      </c>
      <c r="AN5" s="6">
        <v>1187168000000</v>
      </c>
      <c r="AO5" s="6">
        <v>874358000000</v>
      </c>
      <c r="AP5" s="6">
        <v>847069000000</v>
      </c>
      <c r="AQ5" s="6">
        <v>1503323000000</v>
      </c>
    </row>
    <row r="6" spans="1:43" x14ac:dyDescent="0.25">
      <c r="A6" s="5" t="s">
        <v>114</v>
      </c>
      <c r="B6" s="6">
        <v>39051000000</v>
      </c>
      <c r="C6" s="6">
        <v>40371000000</v>
      </c>
      <c r="D6" s="6">
        <v>55442000000</v>
      </c>
      <c r="E6" s="6">
        <v>32456000000</v>
      </c>
      <c r="F6" s="6">
        <v>56903000000</v>
      </c>
      <c r="G6" s="6">
        <v>36736000000</v>
      </c>
      <c r="H6" s="6">
        <v>53124000000</v>
      </c>
      <c r="I6" s="6">
        <v>98893000000</v>
      </c>
      <c r="J6" s="6">
        <v>130078000000</v>
      </c>
      <c r="K6" s="6">
        <v>135663000000</v>
      </c>
      <c r="L6" s="6">
        <v>142382000000</v>
      </c>
      <c r="M6" s="6">
        <v>132926000000</v>
      </c>
      <c r="N6" s="6">
        <v>174771000000</v>
      </c>
      <c r="O6" s="6">
        <v>192044000000</v>
      </c>
      <c r="P6" s="6">
        <v>193122000000</v>
      </c>
      <c r="Q6" s="6">
        <v>231492000000</v>
      </c>
      <c r="R6" s="6">
        <v>213642000000</v>
      </c>
      <c r="S6" s="6">
        <v>218143000000</v>
      </c>
      <c r="T6" s="6">
        <v>292532000000</v>
      </c>
      <c r="U6" s="6">
        <v>363957000000</v>
      </c>
      <c r="V6" s="6">
        <v>346529000000</v>
      </c>
      <c r="W6" s="6">
        <v>593670000000</v>
      </c>
      <c r="X6" s="6">
        <v>376740000000</v>
      </c>
      <c r="Y6" s="6">
        <v>810794000000</v>
      </c>
      <c r="Z6" s="6">
        <v>665634000000</v>
      </c>
      <c r="AA6" s="6">
        <v>916555000000</v>
      </c>
      <c r="AB6" s="6">
        <v>790195000000</v>
      </c>
      <c r="AC6" s="6">
        <v>936071000000</v>
      </c>
      <c r="AD6" s="6">
        <v>769603000000</v>
      </c>
      <c r="AE6" s="6">
        <v>790742000000</v>
      </c>
      <c r="AF6" s="6">
        <v>444169000000</v>
      </c>
      <c r="AG6" s="6">
        <v>825654000000</v>
      </c>
      <c r="AH6" s="6">
        <v>512447000000</v>
      </c>
      <c r="AI6" s="6">
        <v>876036000000</v>
      </c>
      <c r="AJ6" s="6">
        <v>946414000000</v>
      </c>
      <c r="AK6" s="6">
        <v>961068000000</v>
      </c>
      <c r="AL6" s="6">
        <v>1177239000000</v>
      </c>
      <c r="AM6" s="6">
        <v>1874020000000</v>
      </c>
      <c r="AN6" s="6">
        <v>1490967000000</v>
      </c>
      <c r="AO6" s="6">
        <v>1155554000000</v>
      </c>
      <c r="AP6" s="6">
        <v>970592000000</v>
      </c>
      <c r="AQ6" s="6">
        <v>1743305000000</v>
      </c>
    </row>
    <row r="7" spans="1:43" x14ac:dyDescent="0.25">
      <c r="A7" s="5" t="s">
        <v>115</v>
      </c>
      <c r="B7" s="6">
        <v>-11735000000</v>
      </c>
      <c r="C7" s="6">
        <v>-13030000000</v>
      </c>
      <c r="D7" s="6">
        <f>(D5-D6)*1000000</f>
        <v>-1.3896E+16</v>
      </c>
      <c r="E7" s="6">
        <v>-10435000000</v>
      </c>
      <c r="F7" s="6">
        <v>-24638000000</v>
      </c>
      <c r="G7" s="6">
        <v>1368000000</v>
      </c>
      <c r="H7" s="6">
        <v>-18013000000</v>
      </c>
      <c r="I7" s="6">
        <v>-25622000000</v>
      </c>
      <c r="J7" s="6">
        <v>-19199000000</v>
      </c>
      <c r="K7" s="6">
        <v>-21086000000</v>
      </c>
      <c r="L7" s="6">
        <v>-26941000000</v>
      </c>
      <c r="M7" s="6">
        <v>-35649000000</v>
      </c>
      <c r="N7" s="6">
        <v>-32923000000</v>
      </c>
      <c r="O7" s="6">
        <v>-47871000000</v>
      </c>
      <c r="P7" s="6">
        <v>-44005000000</v>
      </c>
      <c r="Q7" s="6">
        <v>-70754000000</v>
      </c>
      <c r="R7" s="6">
        <v>-55532000000</v>
      </c>
      <c r="S7" s="6">
        <v>-5277000000</v>
      </c>
      <c r="T7" s="6">
        <v>36320000000</v>
      </c>
      <c r="U7" s="6">
        <v>-42978000000</v>
      </c>
      <c r="V7" s="6">
        <v>-33108000000</v>
      </c>
      <c r="W7" s="6">
        <v>-49698000000</v>
      </c>
      <c r="X7" s="6">
        <v>-47826000000</v>
      </c>
      <c r="Y7" s="6">
        <v>-69663000000</v>
      </c>
      <c r="Z7" s="6">
        <v>-57349000000</v>
      </c>
      <c r="AA7" s="6">
        <v>-81312000000</v>
      </c>
      <c r="AB7" s="6">
        <v>-96922000000</v>
      </c>
      <c r="AC7" s="6">
        <v>-116054000000</v>
      </c>
      <c r="AD7" s="6">
        <v>-92408000000</v>
      </c>
      <c r="AE7" s="6">
        <v>-189878000000</v>
      </c>
      <c r="AF7" s="6">
        <v>-126210000000</v>
      </c>
      <c r="AG7" s="6">
        <v>-233870000000</v>
      </c>
      <c r="AH7" s="6">
        <v>-155685000000</v>
      </c>
      <c r="AI7" s="6">
        <v>-651467000000</v>
      </c>
      <c r="AJ7" s="6">
        <v>-534304000000</v>
      </c>
      <c r="AK7" s="6">
        <v>-537589000000</v>
      </c>
      <c r="AL7" s="6">
        <v>-443949000000</v>
      </c>
      <c r="AM7" s="6">
        <v>-542460000000</v>
      </c>
      <c r="AN7" s="6">
        <v>-303799000000</v>
      </c>
      <c r="AO7" s="6">
        <v>-281196000000</v>
      </c>
      <c r="AP7" s="6">
        <v>-123523000000</v>
      </c>
      <c r="AQ7" s="6">
        <v>-239982000000</v>
      </c>
    </row>
    <row r="8" spans="1:43" x14ac:dyDescent="0.25">
      <c r="A8" s="13" t="s">
        <v>116</v>
      </c>
      <c r="B8" s="6">
        <v>46400000000</v>
      </c>
      <c r="C8" s="6">
        <v>55872000000</v>
      </c>
      <c r="D8" s="6">
        <v>44123000000</v>
      </c>
      <c r="E8" s="6">
        <v>62889000000</v>
      </c>
      <c r="F8" s="6">
        <v>34006000000</v>
      </c>
      <c r="G8" s="6">
        <v>56288000000</v>
      </c>
      <c r="H8" s="6">
        <v>32139000000</v>
      </c>
      <c r="I8" s="6">
        <v>7481000000</v>
      </c>
      <c r="J8" s="6">
        <v>22698000000</v>
      </c>
      <c r="K8" s="6">
        <v>55020000000</v>
      </c>
      <c r="L8" s="6">
        <v>51052000000</v>
      </c>
      <c r="M8" s="6">
        <v>169545000000</v>
      </c>
      <c r="N8" s="6">
        <v>94380000000</v>
      </c>
      <c r="O8" s="6">
        <v>80905000000</v>
      </c>
      <c r="P8" s="4">
        <v>-296000000</v>
      </c>
      <c r="Q8" s="6">
        <v>54814000000</v>
      </c>
      <c r="R8" s="6">
        <v>24920000000</v>
      </c>
      <c r="S8" s="6">
        <v>18928000000</v>
      </c>
      <c r="T8" s="6">
        <v>30484000000</v>
      </c>
      <c r="U8" s="6">
        <v>93324000000</v>
      </c>
      <c r="V8" s="6">
        <v>24324000000</v>
      </c>
      <c r="W8" s="6">
        <v>42453000000</v>
      </c>
      <c r="X8" s="6">
        <v>20574000000</v>
      </c>
      <c r="Y8" s="6">
        <v>91897000000</v>
      </c>
      <c r="Z8" s="6">
        <v>22999000000</v>
      </c>
      <c r="AA8" s="6">
        <v>80329000000</v>
      </c>
      <c r="AB8" s="6">
        <v>96502000000</v>
      </c>
      <c r="AC8" s="6">
        <v>-65593000000</v>
      </c>
      <c r="AD8" s="6">
        <v>-49550000000</v>
      </c>
      <c r="AE8" s="6">
        <v>145057000000</v>
      </c>
      <c r="AF8" s="6">
        <v>185863000000</v>
      </c>
      <c r="AG8" s="6">
        <v>283333000000</v>
      </c>
      <c r="AH8" s="6">
        <v>174886000000</v>
      </c>
      <c r="AI8" s="6">
        <v>310407000000</v>
      </c>
      <c r="AJ8" s="6">
        <v>123899000000</v>
      </c>
      <c r="AK8" s="6">
        <v>234621000000</v>
      </c>
      <c r="AL8" s="6">
        <v>188241000000</v>
      </c>
      <c r="AM8" s="6">
        <v>423977000000</v>
      </c>
      <c r="AN8" s="6">
        <v>343463000000</v>
      </c>
      <c r="AO8" s="6">
        <v>316501000000</v>
      </c>
      <c r="AP8" s="6">
        <v>321875000000</v>
      </c>
      <c r="AQ8" s="6">
        <v>402281000000</v>
      </c>
    </row>
    <row r="9" spans="1:43" x14ac:dyDescent="0.25">
      <c r="A9" s="13" t="s">
        <v>117</v>
      </c>
      <c r="B9" s="6">
        <v>20596000000</v>
      </c>
      <c r="C9" s="6">
        <v>-20596000000</v>
      </c>
      <c r="D9" s="6">
        <v>33356000000</v>
      </c>
      <c r="E9" s="6">
        <v>49147000000</v>
      </c>
      <c r="F9" s="6">
        <v>-1452000000</v>
      </c>
      <c r="G9" s="6">
        <v>5921000000</v>
      </c>
      <c r="H9" s="6">
        <v>3211000000</v>
      </c>
      <c r="I9" s="6">
        <v>-1972000000</v>
      </c>
      <c r="J9" s="6">
        <v>83317000000</v>
      </c>
      <c r="K9" s="6">
        <v>21093000000</v>
      </c>
      <c r="L9" s="6">
        <v>16069000000</v>
      </c>
      <c r="M9" s="6">
        <v>-1885000000</v>
      </c>
      <c r="N9" s="6">
        <v>29805000000</v>
      </c>
      <c r="O9" s="6">
        <v>-2674000000</v>
      </c>
      <c r="P9" s="6">
        <v>14105000000</v>
      </c>
      <c r="Q9" s="6">
        <v>39223000000</v>
      </c>
      <c r="R9" s="6">
        <v>63695000000</v>
      </c>
      <c r="S9" s="6">
        <v>-17485000000</v>
      </c>
      <c r="T9" s="6">
        <v>-17173000000</v>
      </c>
      <c r="U9" s="6">
        <v>54445000000</v>
      </c>
      <c r="V9" s="6">
        <v>19782000000</v>
      </c>
      <c r="W9" s="6">
        <v>54977000000</v>
      </c>
      <c r="X9" s="6">
        <v>35667000000</v>
      </c>
      <c r="Y9" s="6">
        <v>-9494000000</v>
      </c>
      <c r="Z9" s="6">
        <v>38285000000</v>
      </c>
      <c r="AA9" s="6">
        <v>-12837000000</v>
      </c>
      <c r="AB9" s="6">
        <v>-8813000000</v>
      </c>
      <c r="AC9" s="4">
        <v>351000000</v>
      </c>
      <c r="AD9" s="6">
        <v>27963000000</v>
      </c>
      <c r="AE9" s="6">
        <v>75910000000</v>
      </c>
      <c r="AF9" s="6">
        <v>29936000000</v>
      </c>
      <c r="AG9" s="6">
        <v>-92086000000</v>
      </c>
      <c r="AH9" s="6">
        <v>-78664000000</v>
      </c>
      <c r="AI9" s="4">
        <v>-279000000</v>
      </c>
      <c r="AJ9" s="6">
        <v>141710000000</v>
      </c>
      <c r="AK9" s="6">
        <v>6162000000</v>
      </c>
      <c r="AL9" s="6">
        <v>389280000000</v>
      </c>
      <c r="AM9" s="6">
        <v>241355000000</v>
      </c>
      <c r="AN9" s="6">
        <v>4397000000</v>
      </c>
      <c r="AO9" s="6">
        <v>4428000000</v>
      </c>
      <c r="AP9" s="6">
        <v>-6177000000</v>
      </c>
      <c r="AQ9" s="6">
        <v>-56937000000</v>
      </c>
    </row>
    <row r="10" spans="1:43" x14ac:dyDescent="0.25">
      <c r="A10" s="13" t="s">
        <v>118</v>
      </c>
      <c r="B10" s="6">
        <v>7885000000</v>
      </c>
      <c r="C10" s="6">
        <v>-95964000000</v>
      </c>
      <c r="D10" s="6">
        <v>5341000000</v>
      </c>
      <c r="E10" s="6">
        <v>233897000000</v>
      </c>
      <c r="F10" s="6">
        <v>43105000000</v>
      </c>
      <c r="G10" s="6">
        <v>115165000000</v>
      </c>
      <c r="H10" s="6">
        <v>344948000000</v>
      </c>
      <c r="I10" s="6">
        <v>-18323000000</v>
      </c>
      <c r="J10" s="6">
        <v>160114000000</v>
      </c>
      <c r="K10" s="6">
        <v>172670000000</v>
      </c>
      <c r="L10" s="6">
        <v>8126000000</v>
      </c>
      <c r="M10" s="6">
        <v>6348000000</v>
      </c>
      <c r="N10" s="6">
        <v>128076000000</v>
      </c>
      <c r="O10" s="6">
        <v>33535000000</v>
      </c>
      <c r="P10" s="6">
        <v>75491000000</v>
      </c>
      <c r="Q10" s="6">
        <v>2847000000</v>
      </c>
      <c r="R10" s="6">
        <v>-32218000000</v>
      </c>
      <c r="S10" s="6">
        <v>140737000000</v>
      </c>
      <c r="T10" s="6">
        <v>28065000000</v>
      </c>
      <c r="U10" s="6">
        <v>24922000000</v>
      </c>
      <c r="V10" s="6">
        <v>396401000000</v>
      </c>
      <c r="W10" s="6">
        <v>55665000000</v>
      </c>
      <c r="X10" s="6">
        <v>-11835000000</v>
      </c>
      <c r="Y10" s="6">
        <v>36982000000</v>
      </c>
      <c r="Z10" s="6">
        <v>308663000000</v>
      </c>
      <c r="AA10" s="6">
        <v>19346000000</v>
      </c>
      <c r="AB10" s="6">
        <v>-11513000000</v>
      </c>
      <c r="AC10" s="6">
        <v>-3876000000</v>
      </c>
      <c r="AD10" s="6">
        <v>24161000000</v>
      </c>
      <c r="AE10" s="6">
        <v>515414000000</v>
      </c>
      <c r="AF10" s="6">
        <v>516324000000</v>
      </c>
      <c r="AG10" s="6">
        <v>111106000000</v>
      </c>
      <c r="AH10" s="6">
        <v>65351000000</v>
      </c>
      <c r="AI10" s="6">
        <v>-49917000000</v>
      </c>
      <c r="AJ10" s="6">
        <v>-88800000000</v>
      </c>
      <c r="AK10" s="6">
        <v>141619000000</v>
      </c>
      <c r="AL10" s="6">
        <v>-16744000000</v>
      </c>
      <c r="AM10" s="6">
        <v>19526000000</v>
      </c>
      <c r="AN10" s="6">
        <v>4797000000</v>
      </c>
      <c r="AO10" s="6">
        <v>848331000000</v>
      </c>
      <c r="AP10" s="6">
        <v>48960000000</v>
      </c>
      <c r="AQ10" s="6">
        <v>-27969000000</v>
      </c>
    </row>
    <row r="11" spans="1:43" x14ac:dyDescent="0.25">
      <c r="A11" s="3" t="s">
        <v>119</v>
      </c>
      <c r="B11" s="6">
        <v>9697000000</v>
      </c>
      <c r="C11" s="6">
        <v>10607000000</v>
      </c>
      <c r="D11" s="6">
        <v>17165000000</v>
      </c>
      <c r="E11" s="6">
        <v>129222000000</v>
      </c>
      <c r="F11" s="6">
        <v>22067000000</v>
      </c>
      <c r="G11" s="6">
        <v>77228000000</v>
      </c>
      <c r="H11" s="6">
        <v>88698000000</v>
      </c>
      <c r="I11" s="6">
        <v>121186000000</v>
      </c>
      <c r="J11" s="6">
        <v>72138000000</v>
      </c>
      <c r="K11" s="6">
        <v>90071000000</v>
      </c>
      <c r="L11" s="6">
        <v>103021000000</v>
      </c>
      <c r="M11" s="6">
        <v>224927000000</v>
      </c>
      <c r="N11" s="6">
        <v>41713000000</v>
      </c>
      <c r="O11" s="6">
        <v>100821000000</v>
      </c>
      <c r="P11" s="6">
        <v>127751000000</v>
      </c>
      <c r="Q11" s="6">
        <v>197998000000</v>
      </c>
      <c r="R11" s="6">
        <v>52741000000</v>
      </c>
      <c r="S11" s="6">
        <v>130533000000</v>
      </c>
      <c r="T11" s="6">
        <v>76717000000</v>
      </c>
      <c r="U11" s="6">
        <v>258852000000</v>
      </c>
      <c r="V11" s="6">
        <v>51740000000</v>
      </c>
      <c r="W11" s="6">
        <v>88243000000</v>
      </c>
      <c r="X11" s="6">
        <v>26331000000</v>
      </c>
      <c r="Y11" s="6">
        <v>16323000000</v>
      </c>
      <c r="Z11" s="6">
        <v>98560000000</v>
      </c>
      <c r="AA11" s="6">
        <v>103713000000</v>
      </c>
      <c r="AB11" s="6">
        <v>139972000000</v>
      </c>
      <c r="AC11" s="6">
        <v>185845000000</v>
      </c>
      <c r="AD11" s="6">
        <v>131606000000</v>
      </c>
      <c r="AE11" s="6">
        <v>121631000000</v>
      </c>
      <c r="AF11" s="6">
        <v>114897000000</v>
      </c>
      <c r="AG11" s="6">
        <v>-108981000000</v>
      </c>
      <c r="AH11" s="6">
        <v>73380000000</v>
      </c>
      <c r="AI11" s="6">
        <v>88358000000</v>
      </c>
      <c r="AJ11" s="6">
        <v>150584000000</v>
      </c>
      <c r="AK11" s="6">
        <v>393549000000</v>
      </c>
      <c r="AL11" s="6">
        <v>478817000000</v>
      </c>
      <c r="AM11" s="6">
        <v>-272338000000</v>
      </c>
      <c r="AN11" s="6">
        <v>158221000000</v>
      </c>
      <c r="AO11" s="6">
        <v>371917000000</v>
      </c>
      <c r="AP11" s="6">
        <v>168690000000</v>
      </c>
      <c r="AQ11" s="6">
        <v>79081000000</v>
      </c>
    </row>
    <row r="12" spans="1:43" x14ac:dyDescent="0.25">
      <c r="A12" s="5" t="s">
        <v>120</v>
      </c>
      <c r="B12" s="6">
        <v>40102000000</v>
      </c>
      <c r="C12" s="6">
        <v>-6102000000</v>
      </c>
      <c r="D12" s="6">
        <v>25035000000</v>
      </c>
      <c r="E12" s="6">
        <v>136084000000</v>
      </c>
      <c r="F12" s="6">
        <v>27145000000</v>
      </c>
      <c r="G12" s="6">
        <v>88299000000</v>
      </c>
      <c r="H12" s="6">
        <v>94656000000</v>
      </c>
      <c r="I12" s="6">
        <v>147223000000</v>
      </c>
      <c r="J12" s="6">
        <v>87853000000</v>
      </c>
      <c r="K12" s="6">
        <v>95610000000</v>
      </c>
      <c r="L12" s="6">
        <v>133582000000</v>
      </c>
      <c r="M12" s="6">
        <v>229745000000</v>
      </c>
      <c r="N12" s="6">
        <v>51686000000</v>
      </c>
      <c r="O12" s="6">
        <v>137438000000</v>
      </c>
      <c r="P12" s="6">
        <v>118900000000</v>
      </c>
      <c r="Q12" s="6">
        <v>196880000000</v>
      </c>
      <c r="R12" s="6">
        <v>59010000000</v>
      </c>
      <c r="S12" s="6">
        <v>143637000000</v>
      </c>
      <c r="T12" s="6">
        <v>124512000000</v>
      </c>
      <c r="U12" s="6">
        <v>302934000000</v>
      </c>
      <c r="V12" s="6">
        <v>80131000000</v>
      </c>
      <c r="W12" s="6">
        <v>121968000000</v>
      </c>
      <c r="X12" s="6">
        <v>85251000000</v>
      </c>
      <c r="Y12" s="6">
        <v>208925000000</v>
      </c>
      <c r="Z12" s="6">
        <v>119619000000</v>
      </c>
      <c r="AA12" s="6">
        <v>144321000000</v>
      </c>
      <c r="AB12" s="6">
        <v>160239000000</v>
      </c>
      <c r="AC12" s="6">
        <v>163947000000</v>
      </c>
      <c r="AD12" s="6">
        <v>143711000000</v>
      </c>
      <c r="AE12" s="6">
        <v>129369000000</v>
      </c>
      <c r="AF12" s="6">
        <v>118848000000</v>
      </c>
      <c r="AG12" s="6">
        <v>149716000000</v>
      </c>
      <c r="AH12" s="6">
        <v>107688000000</v>
      </c>
      <c r="AI12" s="6">
        <v>140389000000</v>
      </c>
      <c r="AJ12" s="6">
        <v>163363000000</v>
      </c>
      <c r="AK12" s="6">
        <v>458422000000</v>
      </c>
      <c r="AL12" s="6">
        <v>560161000000</v>
      </c>
      <c r="AM12" s="6">
        <v>-211628000000</v>
      </c>
      <c r="AN12" s="6">
        <v>230738000000</v>
      </c>
      <c r="AO12" s="6">
        <v>446885000000</v>
      </c>
      <c r="AP12" s="6">
        <v>184847000000</v>
      </c>
      <c r="AQ12" s="6">
        <v>184472000000</v>
      </c>
    </row>
    <row r="13" spans="1:43" x14ac:dyDescent="0.25">
      <c r="A13" s="5" t="s">
        <v>121</v>
      </c>
      <c r="B13" s="6">
        <v>-30405000000</v>
      </c>
      <c r="C13" s="6">
        <v>16709000000</v>
      </c>
      <c r="D13" s="6">
        <v>-7870000000</v>
      </c>
      <c r="E13" s="6">
        <v>-6862000000</v>
      </c>
      <c r="F13" s="6">
        <v>-5078000000</v>
      </c>
      <c r="G13" s="6">
        <v>-11071000000</v>
      </c>
      <c r="H13" s="6">
        <v>-5958000000</v>
      </c>
      <c r="I13" s="6">
        <v>-26037000000</v>
      </c>
      <c r="J13" s="6">
        <v>-15715000000</v>
      </c>
      <c r="K13" s="6">
        <v>-5539000000</v>
      </c>
      <c r="L13" s="6">
        <v>-30561000000</v>
      </c>
      <c r="M13" s="6">
        <v>-4818000000</v>
      </c>
      <c r="N13" s="6">
        <v>-9973000000</v>
      </c>
      <c r="O13" s="6">
        <v>-36617000000</v>
      </c>
      <c r="P13" s="6">
        <v>8851000000</v>
      </c>
      <c r="Q13" s="6">
        <v>1118000000</v>
      </c>
      <c r="R13" s="6">
        <v>-6269000000</v>
      </c>
      <c r="S13" s="6">
        <v>-13104000000</v>
      </c>
      <c r="T13" s="6">
        <v>-47795000000</v>
      </c>
      <c r="U13" s="6">
        <v>-44082000000</v>
      </c>
      <c r="V13" s="6">
        <v>-28391000000</v>
      </c>
      <c r="W13" s="6">
        <v>-33725000000</v>
      </c>
      <c r="X13" s="6">
        <v>-58920000000</v>
      </c>
      <c r="Y13" s="6">
        <v>-192602000000</v>
      </c>
      <c r="Z13" s="6">
        <v>-21059000000</v>
      </c>
      <c r="AA13" s="6">
        <v>-40608000000</v>
      </c>
      <c r="AB13" s="6">
        <v>-20267000000</v>
      </c>
      <c r="AC13" s="6">
        <v>21898000000</v>
      </c>
      <c r="AD13" s="6">
        <v>-12105000000</v>
      </c>
      <c r="AE13" s="6">
        <v>-7738000000</v>
      </c>
      <c r="AF13" s="6">
        <v>-3951000000</v>
      </c>
      <c r="AG13" s="6">
        <v>-258697000000</v>
      </c>
      <c r="AH13" s="6">
        <v>-34308000000</v>
      </c>
      <c r="AI13" s="6">
        <v>-52031000000</v>
      </c>
      <c r="AJ13" s="6">
        <v>-12779000000</v>
      </c>
      <c r="AK13" s="6">
        <v>-64873000000</v>
      </c>
      <c r="AL13" s="6">
        <v>-81344000000</v>
      </c>
      <c r="AM13" s="6">
        <v>-60710000000</v>
      </c>
      <c r="AN13" s="6">
        <v>-72517000000</v>
      </c>
      <c r="AO13" s="6">
        <v>-74968000000</v>
      </c>
      <c r="AP13" s="6">
        <v>-16157000000</v>
      </c>
      <c r="AQ13" s="6">
        <v>-105391000000</v>
      </c>
    </row>
    <row r="14" spans="1:43" x14ac:dyDescent="0.25">
      <c r="A14" s="13" t="s">
        <v>122</v>
      </c>
      <c r="B14" s="4">
        <v>454000000</v>
      </c>
      <c r="C14" s="6">
        <v>3021000000</v>
      </c>
      <c r="D14" s="6">
        <v>8810000000</v>
      </c>
      <c r="E14" s="6">
        <v>0</v>
      </c>
      <c r="F14" s="4">
        <v>495000000</v>
      </c>
      <c r="G14" s="6">
        <v>43099000000</v>
      </c>
      <c r="H14" s="4">
        <v>37000000</v>
      </c>
      <c r="I14" s="4">
        <v>250000000</v>
      </c>
      <c r="J14" s="6">
        <v>22431000000</v>
      </c>
      <c r="K14" s="6">
        <v>26111000000</v>
      </c>
      <c r="L14" s="6">
        <v>53618000000</v>
      </c>
      <c r="M14" s="4">
        <v>0</v>
      </c>
      <c r="N14" s="4">
        <v>0</v>
      </c>
      <c r="O14" s="6">
        <v>27069000000</v>
      </c>
      <c r="P14" s="4">
        <v>0</v>
      </c>
      <c r="Q14" s="4">
        <v>0</v>
      </c>
      <c r="R14" s="4">
        <v>0</v>
      </c>
      <c r="S14" s="4">
        <v>260000000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6">
        <v>2252000000</v>
      </c>
      <c r="AA14" s="6">
        <v>4533000000</v>
      </c>
      <c r="AB14" s="4">
        <v>0</v>
      </c>
      <c r="AC14" s="4">
        <v>0</v>
      </c>
      <c r="AD14" s="6">
        <v>5224000000</v>
      </c>
      <c r="AE14" s="4">
        <v>0</v>
      </c>
      <c r="AF14" s="6">
        <v>4101000000</v>
      </c>
      <c r="AG14" s="4">
        <v>0</v>
      </c>
      <c r="AH14" s="4">
        <v>0</v>
      </c>
      <c r="AI14" s="4">
        <v>0</v>
      </c>
      <c r="AJ14" s="6">
        <v>22024000000</v>
      </c>
      <c r="AK14" s="6">
        <v>45980000000</v>
      </c>
      <c r="AL14" s="6">
        <v>23569000000</v>
      </c>
      <c r="AM14" s="6">
        <v>72649000000</v>
      </c>
      <c r="AN14" s="6">
        <v>55114000000</v>
      </c>
      <c r="AO14" s="6">
        <v>159141000000</v>
      </c>
      <c r="AP14" s="6">
        <v>89403000000</v>
      </c>
      <c r="AQ14" s="6">
        <v>1078676000000</v>
      </c>
    </row>
    <row r="15" spans="1:43" x14ac:dyDescent="0.25">
      <c r="A15" s="13" t="s">
        <v>123</v>
      </c>
      <c r="B15" s="6">
        <v>-700006000000</v>
      </c>
      <c r="C15" s="6">
        <v>-769132000000</v>
      </c>
      <c r="D15" s="6">
        <v>-831101000000</v>
      </c>
      <c r="E15" s="6">
        <v>-976749000000</v>
      </c>
      <c r="F15" s="6">
        <v>-893980000000</v>
      </c>
      <c r="G15" s="6">
        <v>-990126000000</v>
      </c>
      <c r="H15" s="6">
        <v>-1051473000000</v>
      </c>
      <c r="I15" s="6">
        <v>-1158046000000</v>
      </c>
      <c r="J15" s="6">
        <v>-1009080000000</v>
      </c>
      <c r="K15" s="6">
        <v>-1099993000000</v>
      </c>
      <c r="L15" s="6">
        <v>-1148111000000</v>
      </c>
      <c r="M15" s="6">
        <v>-1184272000000</v>
      </c>
      <c r="N15" s="6">
        <v>-1137368000000</v>
      </c>
      <c r="O15" s="6">
        <v>-1292905000000</v>
      </c>
      <c r="P15" s="6">
        <v>-1284028000000</v>
      </c>
      <c r="Q15" s="6">
        <v>-1366195000000</v>
      </c>
      <c r="R15" s="6">
        <v>-1607759000000</v>
      </c>
      <c r="S15" s="6">
        <v>-1130488000000</v>
      </c>
      <c r="T15" s="6">
        <v>-1562467000000</v>
      </c>
      <c r="U15" s="6">
        <v>-1872114000000</v>
      </c>
      <c r="V15" s="6">
        <v>-1631572000000</v>
      </c>
      <c r="W15" s="6">
        <v>-1682984000000</v>
      </c>
      <c r="X15" s="6">
        <v>-1411602000000</v>
      </c>
      <c r="Y15" s="6">
        <v>-1656610000000</v>
      </c>
      <c r="Z15" s="6">
        <v>-1925612000000</v>
      </c>
      <c r="AA15" s="6">
        <v>-2033070000000</v>
      </c>
      <c r="AB15" s="6">
        <v>-2000925000000</v>
      </c>
      <c r="AC15" s="6">
        <v>-2671102000000</v>
      </c>
      <c r="AD15" s="6">
        <v>-1958618000000</v>
      </c>
      <c r="AE15" s="6">
        <v>-2238587000000</v>
      </c>
      <c r="AF15" s="6">
        <v>-2301873000000</v>
      </c>
      <c r="AG15" s="6">
        <v>-2630124000000</v>
      </c>
      <c r="AH15" s="6">
        <v>-2454639000000</v>
      </c>
      <c r="AI15" s="6">
        <v>-3029780000000</v>
      </c>
      <c r="AJ15" s="6">
        <v>-2951077000000</v>
      </c>
      <c r="AK15" s="6">
        <v>-3540462000000</v>
      </c>
      <c r="AL15" s="6">
        <v>-2524523000000</v>
      </c>
      <c r="AM15" s="6">
        <v>-2782029000000</v>
      </c>
      <c r="AN15" s="6">
        <v>-2487980000000</v>
      </c>
      <c r="AO15" s="6">
        <v>-3819923000000</v>
      </c>
      <c r="AP15" s="6">
        <v>-2587015000000</v>
      </c>
      <c r="AQ15" s="6">
        <v>-3065627000000</v>
      </c>
    </row>
    <row r="16" spans="1:43" x14ac:dyDescent="0.25">
      <c r="A16" s="13" t="s">
        <v>124</v>
      </c>
      <c r="B16" s="6">
        <v>433267000000</v>
      </c>
      <c r="C16" s="6">
        <v>398850000000</v>
      </c>
      <c r="D16" s="6">
        <v>495647000000</v>
      </c>
      <c r="E16" s="6">
        <v>813474000000</v>
      </c>
      <c r="F16" s="6">
        <v>592603000000</v>
      </c>
      <c r="G16" s="6">
        <v>722112000000</v>
      </c>
      <c r="H16" s="6">
        <v>1350146000000</v>
      </c>
      <c r="I16" s="6">
        <v>768665000000</v>
      </c>
      <c r="J16" s="6">
        <v>1293937000000</v>
      </c>
      <c r="K16" s="6">
        <v>1263931000000</v>
      </c>
      <c r="L16" s="6">
        <v>967922000000</v>
      </c>
      <c r="M16" s="6">
        <v>1473105000000</v>
      </c>
      <c r="N16" s="6">
        <v>1328364000000</v>
      </c>
      <c r="O16" s="6">
        <v>1414665000000</v>
      </c>
      <c r="P16" s="6">
        <v>1587010000000</v>
      </c>
      <c r="Q16" s="6">
        <v>1977459000000</v>
      </c>
      <c r="R16" s="6">
        <v>1543086000000</v>
      </c>
      <c r="S16" s="6">
        <v>2064891000000</v>
      </c>
      <c r="T16" s="6">
        <v>1906061000000</v>
      </c>
      <c r="U16" s="6">
        <v>2092569000000</v>
      </c>
      <c r="V16" s="6">
        <v>2536894000000</v>
      </c>
      <c r="W16" s="6">
        <v>2571027000000</v>
      </c>
      <c r="X16" s="6">
        <v>2294331000000</v>
      </c>
      <c r="Y16" s="6">
        <v>2973225000000</v>
      </c>
      <c r="Z16" s="6">
        <v>3196823000000</v>
      </c>
      <c r="AA16" s="6">
        <v>3548482000000</v>
      </c>
      <c r="AB16" s="6">
        <v>3393346000000</v>
      </c>
      <c r="AC16" s="6">
        <v>3197744000000</v>
      </c>
      <c r="AD16" s="6">
        <v>3698789000000</v>
      </c>
      <c r="AE16" s="6">
        <v>4174804000000</v>
      </c>
      <c r="AF16" s="6">
        <v>3783355000000</v>
      </c>
      <c r="AG16" s="6">
        <v>5627535000000</v>
      </c>
      <c r="AH16" s="6">
        <v>5297426000000</v>
      </c>
      <c r="AI16" s="6">
        <v>5263236000000</v>
      </c>
      <c r="AJ16" s="6">
        <v>5583895000000</v>
      </c>
      <c r="AK16" s="6">
        <v>5907668000000</v>
      </c>
      <c r="AL16" s="6">
        <v>6680030000000</v>
      </c>
      <c r="AM16" s="6">
        <v>8853858000000</v>
      </c>
      <c r="AN16" s="6">
        <v>7028502000000</v>
      </c>
      <c r="AO16" s="6">
        <v>8510363000000</v>
      </c>
      <c r="AP16" s="6">
        <v>7365827000000</v>
      </c>
      <c r="AQ16" s="6">
        <v>9649843000000</v>
      </c>
    </row>
    <row r="17" spans="1:43" x14ac:dyDescent="0.25">
      <c r="A17" s="13" t="s">
        <v>125</v>
      </c>
      <c r="B17" s="6">
        <v>-143543000000</v>
      </c>
      <c r="C17" s="6">
        <v>-286389000000</v>
      </c>
      <c r="D17" s="6">
        <v>-353320000000</v>
      </c>
      <c r="E17" s="6">
        <v>-210353000000</v>
      </c>
      <c r="F17" s="6">
        <v>-205256000000</v>
      </c>
      <c r="G17" s="6">
        <v>-228391000000</v>
      </c>
      <c r="H17" s="6">
        <v>-318953000000</v>
      </c>
      <c r="I17" s="6">
        <v>-264160000000</v>
      </c>
      <c r="J17" s="6">
        <v>-247179000000</v>
      </c>
      <c r="K17" s="6">
        <v>-248139000000</v>
      </c>
      <c r="L17" s="6">
        <v>-146552000000</v>
      </c>
      <c r="M17" s="6">
        <v>-352401000000</v>
      </c>
      <c r="N17" s="6">
        <v>-226644000000</v>
      </c>
      <c r="O17" s="6">
        <v>-305733000000</v>
      </c>
      <c r="P17" s="6">
        <v>-349486000000</v>
      </c>
      <c r="Q17" s="6">
        <v>-407220000000</v>
      </c>
      <c r="R17" s="6">
        <v>-292438000000</v>
      </c>
      <c r="S17" s="6">
        <v>-407959000000</v>
      </c>
      <c r="T17" s="6">
        <v>-432226000000</v>
      </c>
      <c r="U17" s="6">
        <v>-655763000000</v>
      </c>
      <c r="V17" s="6">
        <v>-436712000000</v>
      </c>
      <c r="W17" s="6">
        <v>-477774000000</v>
      </c>
      <c r="X17" s="6">
        <v>-403307000000</v>
      </c>
      <c r="Y17" s="6">
        <v>-988067000000</v>
      </c>
      <c r="Z17" s="6">
        <v>-669308000000</v>
      </c>
      <c r="AA17" s="6">
        <v>-772314000000</v>
      </c>
      <c r="AB17" s="6">
        <v>-680925000000</v>
      </c>
      <c r="AC17" s="6">
        <v>-945792000000</v>
      </c>
      <c r="AD17" s="6">
        <v>-956090000000</v>
      </c>
      <c r="AE17" s="6">
        <v>-1433167000000</v>
      </c>
      <c r="AF17" s="6">
        <v>-636089000000</v>
      </c>
      <c r="AG17" s="6">
        <v>-1242405000000</v>
      </c>
      <c r="AH17" s="6">
        <v>-1269851000000</v>
      </c>
      <c r="AI17" s="6">
        <v>-1126231000000</v>
      </c>
      <c r="AJ17" s="6">
        <v>-1093488000000</v>
      </c>
      <c r="AK17" s="6">
        <v>-1831864000000</v>
      </c>
      <c r="AL17" s="6">
        <v>-1324795000000</v>
      </c>
      <c r="AM17" s="6">
        <v>-4141072000000</v>
      </c>
      <c r="AN17" s="6">
        <v>-2294002000000</v>
      </c>
      <c r="AO17" s="6">
        <v>-1991086000000</v>
      </c>
      <c r="AP17" s="6">
        <v>-1258493000000</v>
      </c>
      <c r="AQ17" s="6">
        <v>-2569520000000</v>
      </c>
    </row>
    <row r="18" spans="1:43" x14ac:dyDescent="0.25">
      <c r="A18" s="13" t="s">
        <v>126</v>
      </c>
      <c r="B18" s="6">
        <v>289724000000</v>
      </c>
      <c r="C18" s="6">
        <v>112461000000</v>
      </c>
      <c r="D18" s="6">
        <v>142327000000</v>
      </c>
      <c r="E18" s="6">
        <v>603121000000</v>
      </c>
      <c r="F18" s="6">
        <v>387347000000</v>
      </c>
      <c r="G18" s="6">
        <v>493721000000</v>
      </c>
      <c r="H18" s="6">
        <v>1031193000000</v>
      </c>
      <c r="I18" s="6">
        <v>504505000000</v>
      </c>
      <c r="J18" s="6">
        <v>1046758000000</v>
      </c>
      <c r="K18" s="6">
        <v>1015792000000</v>
      </c>
      <c r="L18" s="6">
        <v>821370000000</v>
      </c>
      <c r="M18" s="6">
        <v>1120704000000</v>
      </c>
      <c r="N18" s="6">
        <v>1101720000000</v>
      </c>
      <c r="O18" s="6">
        <v>1108932000000</v>
      </c>
      <c r="P18" s="6">
        <v>1237524000000</v>
      </c>
      <c r="Q18" s="6">
        <v>1570239000000</v>
      </c>
      <c r="R18" s="6">
        <v>1250648000000</v>
      </c>
      <c r="S18" s="6">
        <v>1656932000000</v>
      </c>
      <c r="T18" s="6">
        <v>1473835000000</v>
      </c>
      <c r="U18" s="6">
        <v>1436806000000</v>
      </c>
      <c r="V18" s="6">
        <v>2100182000000</v>
      </c>
      <c r="W18" s="6">
        <v>2093253000000</v>
      </c>
      <c r="X18" s="6">
        <v>1891024000000</v>
      </c>
      <c r="Y18" s="6">
        <v>1985158000000</v>
      </c>
      <c r="Z18" s="6">
        <v>2527515000000</v>
      </c>
      <c r="AA18" s="6">
        <v>2776168000000</v>
      </c>
      <c r="AB18" s="6">
        <v>2712421000000</v>
      </c>
      <c r="AC18" s="6">
        <v>2251952000000</v>
      </c>
      <c r="AD18" s="6">
        <v>2742699000000</v>
      </c>
      <c r="AE18" s="6">
        <v>2741637000000</v>
      </c>
      <c r="AF18" s="6">
        <v>3147266000000</v>
      </c>
      <c r="AG18" s="6">
        <v>4385130000000</v>
      </c>
      <c r="AH18" s="6">
        <v>4027575000000</v>
      </c>
      <c r="AI18" s="6">
        <v>4137005000000</v>
      </c>
      <c r="AJ18" s="6">
        <v>4490407000000</v>
      </c>
      <c r="AK18" s="6">
        <v>4075804000000</v>
      </c>
      <c r="AL18" s="6">
        <v>5355235000000</v>
      </c>
      <c r="AM18" s="6">
        <v>4712786000000</v>
      </c>
      <c r="AN18" s="6">
        <v>4734500000000</v>
      </c>
      <c r="AO18" s="6">
        <v>6519277000000</v>
      </c>
      <c r="AP18" s="6">
        <v>6107334000000</v>
      </c>
      <c r="AQ18" s="6">
        <v>7080323000000</v>
      </c>
    </row>
    <row r="19" spans="1:43" x14ac:dyDescent="0.25">
      <c r="A19" s="3" t="s">
        <v>127</v>
      </c>
      <c r="B19" s="6">
        <v>-59065000000</v>
      </c>
      <c r="C19" s="6">
        <v>-22822000000</v>
      </c>
      <c r="D19" s="6">
        <v>-26981000000</v>
      </c>
      <c r="E19" s="6">
        <v>-124267000000</v>
      </c>
      <c r="F19" s="6">
        <v>-77751000000</v>
      </c>
      <c r="G19" s="6">
        <v>-90297000000</v>
      </c>
      <c r="H19" s="6">
        <v>-206660000000</v>
      </c>
      <c r="I19" s="6">
        <v>-87665000000</v>
      </c>
      <c r="J19" s="6">
        <v>-212844000000</v>
      </c>
      <c r="K19" s="6">
        <v>-195895000000</v>
      </c>
      <c r="L19" s="6">
        <v>-165739000000</v>
      </c>
      <c r="M19" s="6">
        <v>-228639000000</v>
      </c>
      <c r="N19" s="6">
        <v>-222994000000</v>
      </c>
      <c r="O19" s="6">
        <v>-212703000000</v>
      </c>
      <c r="P19" s="6">
        <v>-248484000000</v>
      </c>
      <c r="Q19" s="6">
        <v>-313898000000</v>
      </c>
      <c r="R19" s="6">
        <v>-249343000000</v>
      </c>
      <c r="S19" s="6">
        <v>-336535000000</v>
      </c>
      <c r="T19" s="6">
        <v>-295149000000</v>
      </c>
      <c r="U19" s="6">
        <v>-290321000000</v>
      </c>
      <c r="V19" s="6">
        <v>-420067000000</v>
      </c>
      <c r="W19" s="6">
        <v>-421778000000</v>
      </c>
      <c r="X19" s="6">
        <v>-377985000000</v>
      </c>
      <c r="Y19" s="6">
        <v>-396288000000</v>
      </c>
      <c r="Z19" s="6">
        <v>-507076000000</v>
      </c>
      <c r="AA19" s="6">
        <v>-556075000000</v>
      </c>
      <c r="AB19" s="6">
        <v>-542934000000</v>
      </c>
      <c r="AC19" s="6">
        <v>-452501000000</v>
      </c>
      <c r="AD19" s="6">
        <v>-548987000000</v>
      </c>
      <c r="AE19" s="6">
        <v>-562109000000</v>
      </c>
      <c r="AF19" s="6">
        <v>-632108000000</v>
      </c>
      <c r="AG19" s="6">
        <v>-937515000000</v>
      </c>
      <c r="AH19" s="6">
        <v>-814403000000</v>
      </c>
      <c r="AI19" s="6">
        <v>-885153000000</v>
      </c>
      <c r="AJ19" s="6">
        <v>-944771000000</v>
      </c>
      <c r="AK19" s="6">
        <v>-838576000000</v>
      </c>
      <c r="AL19" s="6">
        <v>-997563000000</v>
      </c>
      <c r="AM19" s="6">
        <v>-1036727000000</v>
      </c>
      <c r="AN19" s="6">
        <v>-935683000000</v>
      </c>
      <c r="AO19" s="6">
        <v>-1299121000000</v>
      </c>
      <c r="AP19" s="6">
        <v>-1205194000000</v>
      </c>
      <c r="AQ19" s="6">
        <v>-1284739000000</v>
      </c>
    </row>
    <row r="20" spans="1:43" x14ac:dyDescent="0.25">
      <c r="A20" s="5" t="s">
        <v>128</v>
      </c>
      <c r="B20" s="6">
        <v>-59065000000</v>
      </c>
      <c r="C20" s="6">
        <v>-22822000000</v>
      </c>
      <c r="D20" s="6">
        <v>-26981000000</v>
      </c>
      <c r="E20" s="6">
        <v>-117942000000</v>
      </c>
      <c r="F20" s="6">
        <v>-77751000000</v>
      </c>
      <c r="G20" s="6">
        <v>-90297000000</v>
      </c>
      <c r="H20" s="6">
        <v>-206660000000</v>
      </c>
      <c r="I20" s="6">
        <v>-91592000000</v>
      </c>
      <c r="J20" s="6">
        <v>-212844000000</v>
      </c>
      <c r="K20" s="6">
        <v>-195895000000</v>
      </c>
      <c r="L20" s="6">
        <v>-165739000000</v>
      </c>
      <c r="M20" s="6">
        <v>-205816000000</v>
      </c>
      <c r="N20" s="6">
        <v>-222994000000</v>
      </c>
      <c r="O20" s="6">
        <v>-213437000000</v>
      </c>
      <c r="P20" s="6">
        <v>-248484000000</v>
      </c>
      <c r="Q20" s="6">
        <v>-317162000000</v>
      </c>
      <c r="R20" s="6">
        <v>-249343000000</v>
      </c>
      <c r="S20" s="6">
        <v>-337135000000</v>
      </c>
      <c r="T20" s="6">
        <v>-295149000000</v>
      </c>
      <c r="U20" s="6">
        <v>-282644000000</v>
      </c>
      <c r="V20" s="6">
        <v>-420067000000</v>
      </c>
      <c r="W20" s="6">
        <v>-421778000000</v>
      </c>
      <c r="X20" s="6">
        <v>-377985000000</v>
      </c>
      <c r="Y20" s="6">
        <v>-400350000000</v>
      </c>
      <c r="Z20" s="6">
        <v>-507076000000</v>
      </c>
      <c r="AA20" s="6">
        <v>-556075000000</v>
      </c>
      <c r="AB20" s="6">
        <v>-542934000000</v>
      </c>
      <c r="AC20" s="6">
        <v>-485901000000</v>
      </c>
      <c r="AD20" s="6">
        <v>-548987000000</v>
      </c>
      <c r="AE20" s="6">
        <v>-562109000000</v>
      </c>
      <c r="AF20" s="6">
        <v>-632108000000</v>
      </c>
      <c r="AG20" s="6">
        <v>-981425000000</v>
      </c>
      <c r="AH20" s="6">
        <v>-808137000000</v>
      </c>
      <c r="AI20" s="6">
        <v>-879466000000</v>
      </c>
      <c r="AJ20" s="6">
        <v>-957868000000</v>
      </c>
      <c r="AK20" s="6">
        <v>-833194000000</v>
      </c>
      <c r="AL20" s="6">
        <v>-946338000000</v>
      </c>
      <c r="AM20" s="6">
        <v>-1015345000000</v>
      </c>
      <c r="AN20" s="6">
        <v>-912792000000</v>
      </c>
      <c r="AO20" s="6">
        <v>-1311429000000</v>
      </c>
      <c r="AP20" s="6">
        <v>-1232001000000</v>
      </c>
      <c r="AQ20" s="6">
        <v>-1276326000000</v>
      </c>
    </row>
    <row r="21" spans="1:43" x14ac:dyDescent="0.25">
      <c r="A21" s="5" t="s">
        <v>129</v>
      </c>
      <c r="B21" s="4">
        <v>0</v>
      </c>
      <c r="C21" s="4">
        <v>0</v>
      </c>
      <c r="D21" s="4">
        <v>0</v>
      </c>
      <c r="E21" s="6">
        <v>-6325000000</v>
      </c>
      <c r="F21" s="4">
        <v>0</v>
      </c>
      <c r="G21" s="4">
        <v>0</v>
      </c>
      <c r="H21" s="4">
        <v>0</v>
      </c>
      <c r="I21" s="6">
        <v>3927000000</v>
      </c>
      <c r="J21" s="4">
        <v>0</v>
      </c>
      <c r="K21" s="4">
        <v>0</v>
      </c>
      <c r="L21" s="4">
        <v>0</v>
      </c>
      <c r="M21" s="6">
        <v>-22823000000</v>
      </c>
      <c r="N21" s="4">
        <v>0</v>
      </c>
      <c r="O21" s="4">
        <v>734000000</v>
      </c>
      <c r="P21" s="4">
        <v>0</v>
      </c>
      <c r="Q21" s="6">
        <v>3264000000</v>
      </c>
      <c r="R21" s="4">
        <v>0</v>
      </c>
      <c r="S21" s="4">
        <v>600000000</v>
      </c>
      <c r="T21" s="4">
        <v>0</v>
      </c>
      <c r="U21" s="6">
        <v>-7677000000</v>
      </c>
      <c r="V21" s="4">
        <v>0</v>
      </c>
      <c r="W21" s="4">
        <v>0</v>
      </c>
      <c r="X21" s="4">
        <v>0</v>
      </c>
      <c r="Y21" s="6">
        <v>4062000000</v>
      </c>
      <c r="Z21" s="4">
        <v>0</v>
      </c>
      <c r="AA21" s="4">
        <v>0</v>
      </c>
      <c r="AB21" s="4">
        <v>0</v>
      </c>
      <c r="AC21" s="6">
        <v>33400000000</v>
      </c>
      <c r="AD21" s="4">
        <v>0</v>
      </c>
      <c r="AE21" s="4">
        <v>0</v>
      </c>
      <c r="AF21" s="4">
        <v>0</v>
      </c>
      <c r="AG21" s="6">
        <v>43910000000</v>
      </c>
      <c r="AH21" s="6">
        <v>-6266000000</v>
      </c>
      <c r="AI21" s="6">
        <v>-5687000000</v>
      </c>
      <c r="AJ21" s="6">
        <v>13097000000</v>
      </c>
      <c r="AK21" s="6">
        <v>-5382000000</v>
      </c>
      <c r="AL21" s="6">
        <v>-51225000000</v>
      </c>
      <c r="AM21" s="6">
        <v>-21382000000</v>
      </c>
      <c r="AN21" s="6">
        <v>-22891000000</v>
      </c>
      <c r="AO21" s="6">
        <v>12308000000</v>
      </c>
      <c r="AP21" s="6">
        <v>26807000000</v>
      </c>
      <c r="AQ21" s="6">
        <v>-8413000000</v>
      </c>
    </row>
    <row r="22" spans="1:43" x14ac:dyDescent="0.25">
      <c r="A22" s="13" t="s">
        <v>130</v>
      </c>
      <c r="B22" s="6">
        <v>230659000000</v>
      </c>
      <c r="C22" s="6">
        <v>89639000000</v>
      </c>
      <c r="D22" s="6">
        <v>115346000000</v>
      </c>
      <c r="E22" s="6">
        <v>478854000000</v>
      </c>
      <c r="F22" s="6">
        <v>309596000000</v>
      </c>
      <c r="G22" s="6">
        <v>403424000000</v>
      </c>
      <c r="H22" s="6">
        <v>824533000000</v>
      </c>
      <c r="I22" s="6">
        <v>416840000000</v>
      </c>
      <c r="J22" s="6">
        <v>833914000000</v>
      </c>
      <c r="K22" s="6">
        <v>819897000000</v>
      </c>
      <c r="L22" s="6">
        <v>655631000000</v>
      </c>
      <c r="M22" s="6">
        <v>892065000000</v>
      </c>
      <c r="N22" s="6">
        <v>878726000000</v>
      </c>
      <c r="O22" s="6">
        <v>896229000000</v>
      </c>
      <c r="P22" s="6">
        <v>989040000000</v>
      </c>
      <c r="Q22" s="6">
        <v>1256341000000</v>
      </c>
      <c r="R22" s="6">
        <v>1001305000000</v>
      </c>
      <c r="S22" s="6">
        <v>1320397000000</v>
      </c>
      <c r="T22" s="6">
        <v>1178686000000</v>
      </c>
      <c r="U22" s="6">
        <v>1146485000000</v>
      </c>
      <c r="V22" s="6">
        <v>1680115000000</v>
      </c>
      <c r="W22" s="6">
        <v>1671475000000</v>
      </c>
      <c r="X22" s="6">
        <v>1513039000000</v>
      </c>
      <c r="Y22" s="6">
        <v>1588870000000</v>
      </c>
      <c r="Z22" s="6">
        <v>2020439000000</v>
      </c>
      <c r="AA22" s="6">
        <v>2220093000000</v>
      </c>
      <c r="AB22" s="6">
        <v>2169487000000</v>
      </c>
      <c r="AC22" s="6">
        <v>1799451000000</v>
      </c>
      <c r="AD22" s="6">
        <v>2193712000000</v>
      </c>
      <c r="AE22" s="6">
        <v>2179528000000</v>
      </c>
      <c r="AF22" s="6">
        <v>2515158000000</v>
      </c>
      <c r="AG22" s="6">
        <v>3447615000000</v>
      </c>
      <c r="AH22" s="6">
        <v>3213172000000</v>
      </c>
      <c r="AI22" s="6">
        <v>3251852000000</v>
      </c>
      <c r="AJ22" s="6">
        <v>3545636000000</v>
      </c>
      <c r="AK22" s="6">
        <v>3237228000000</v>
      </c>
      <c r="AL22" s="6">
        <v>4357672000000</v>
      </c>
      <c r="AM22" s="6">
        <v>3676059000000</v>
      </c>
      <c r="AN22" s="6">
        <v>3798817000000</v>
      </c>
      <c r="AO22" s="6">
        <v>5220156000000</v>
      </c>
      <c r="AP22" s="6">
        <v>4902140000000</v>
      </c>
      <c r="AQ22" s="6">
        <v>5795584000000</v>
      </c>
    </row>
    <row r="23" spans="1:43" x14ac:dyDescent="0.25">
      <c r="A23" s="13" t="s">
        <v>131</v>
      </c>
      <c r="B23" s="6">
        <v>35762000000</v>
      </c>
      <c r="C23" s="6">
        <v>43133000000</v>
      </c>
      <c r="D23" s="6">
        <v>49424000000</v>
      </c>
      <c r="E23" s="6">
        <v>48047000000</v>
      </c>
      <c r="F23" s="6">
        <v>42438000000</v>
      </c>
      <c r="G23" s="6">
        <v>51775000000</v>
      </c>
      <c r="H23" s="6">
        <v>45560000000</v>
      </c>
      <c r="I23" s="6">
        <v>68147000000</v>
      </c>
      <c r="J23" s="6">
        <v>76654000000</v>
      </c>
      <c r="K23" s="6">
        <v>81869000000</v>
      </c>
      <c r="L23" s="6">
        <v>88496000000</v>
      </c>
      <c r="M23" s="6">
        <v>112408000000</v>
      </c>
      <c r="N23" s="6">
        <v>79904000000</v>
      </c>
      <c r="O23" s="6">
        <v>110003000000</v>
      </c>
      <c r="P23" s="6">
        <v>90358000000</v>
      </c>
      <c r="Q23" s="6">
        <v>135303000000</v>
      </c>
      <c r="R23" s="6">
        <v>112676000000</v>
      </c>
      <c r="S23" s="6">
        <v>109847000000</v>
      </c>
      <c r="T23" s="6">
        <v>87376000000</v>
      </c>
      <c r="U23" s="6">
        <v>88249000000</v>
      </c>
      <c r="V23" s="6">
        <v>116727000000</v>
      </c>
      <c r="W23" s="6">
        <v>119596000000</v>
      </c>
      <c r="X23" s="6">
        <v>81974000000</v>
      </c>
      <c r="Y23" s="6">
        <v>81683000000</v>
      </c>
      <c r="Z23" s="6">
        <v>102040000000</v>
      </c>
      <c r="AA23" s="6">
        <v>140966000000</v>
      </c>
      <c r="AB23" s="6">
        <v>153502000000</v>
      </c>
      <c r="AC23" s="6">
        <v>63167000000</v>
      </c>
      <c r="AD23" s="6">
        <v>105702000000</v>
      </c>
      <c r="AE23" s="6">
        <v>20975000000</v>
      </c>
      <c r="AF23" s="6">
        <v>34718000000</v>
      </c>
      <c r="AG23" s="6">
        <v>103720000000</v>
      </c>
      <c r="AH23" s="6">
        <v>103400000000</v>
      </c>
      <c r="AI23" s="6">
        <v>136961000000</v>
      </c>
      <c r="AJ23" s="6">
        <v>121760000000</v>
      </c>
      <c r="AK23" s="6">
        <v>122574000000</v>
      </c>
      <c r="AL23" s="6">
        <v>122918000000</v>
      </c>
      <c r="AM23" s="6">
        <v>161199000000</v>
      </c>
      <c r="AN23" s="6">
        <v>152179000000</v>
      </c>
      <c r="AO23" s="6">
        <v>112938000000</v>
      </c>
      <c r="AP23" s="6">
        <v>135498000000</v>
      </c>
      <c r="AQ23" s="6">
        <v>240208000000</v>
      </c>
    </row>
    <row r="24" spans="1:43" x14ac:dyDescent="0.25">
      <c r="A24" s="13" t="s">
        <v>132</v>
      </c>
      <c r="B24" s="6">
        <v>194897000000</v>
      </c>
      <c r="C24" s="6">
        <v>46506000000</v>
      </c>
      <c r="D24" s="6">
        <v>65922000000</v>
      </c>
      <c r="E24" s="6">
        <v>430807000000</v>
      </c>
      <c r="F24" s="6">
        <v>267158000000</v>
      </c>
      <c r="G24" s="6">
        <v>351649000000</v>
      </c>
      <c r="H24" s="6">
        <v>778973000000</v>
      </c>
      <c r="I24" s="6">
        <v>348693000000</v>
      </c>
      <c r="J24" s="6">
        <v>757260000000</v>
      </c>
      <c r="K24" s="6">
        <v>738028000000</v>
      </c>
      <c r="L24" s="6">
        <v>567135000000</v>
      </c>
      <c r="M24" s="6">
        <v>779657000000</v>
      </c>
      <c r="N24" s="6">
        <v>798822000000</v>
      </c>
      <c r="O24" s="6">
        <v>786226000000</v>
      </c>
      <c r="P24" s="6">
        <v>898682000000</v>
      </c>
      <c r="Q24" s="6">
        <v>1121038000000</v>
      </c>
      <c r="R24" s="6">
        <v>888629000000</v>
      </c>
      <c r="S24" s="6">
        <v>1210550000000</v>
      </c>
      <c r="T24" s="6">
        <v>1091310000000</v>
      </c>
      <c r="U24" s="6">
        <v>1058236000000</v>
      </c>
      <c r="V24" s="6">
        <v>1563388000000</v>
      </c>
      <c r="W24" s="6">
        <v>1551879000000</v>
      </c>
      <c r="X24" s="6">
        <v>1431065000000</v>
      </c>
      <c r="Y24" s="6">
        <v>1507187000000</v>
      </c>
      <c r="Z24" s="6">
        <v>1918399000000</v>
      </c>
      <c r="AA24" s="6">
        <v>2079127000000</v>
      </c>
      <c r="AB24" s="6">
        <v>2015985000000</v>
      </c>
      <c r="AC24" s="6">
        <v>1736284000000</v>
      </c>
      <c r="AD24" s="6">
        <v>2088010000000</v>
      </c>
      <c r="AE24" s="6">
        <v>2158553000000</v>
      </c>
      <c r="AF24" s="6">
        <v>2480440000000</v>
      </c>
      <c r="AG24" s="6">
        <v>3343895000000</v>
      </c>
      <c r="AH24" s="6">
        <v>3109772000000</v>
      </c>
      <c r="AI24" s="6">
        <v>3114891000000</v>
      </c>
      <c r="AJ24" s="6">
        <v>3423876000000</v>
      </c>
      <c r="AK24" s="6">
        <v>3114654000000</v>
      </c>
      <c r="AL24" s="6">
        <v>4234754000000</v>
      </c>
      <c r="AM24" s="6">
        <v>3514860000000</v>
      </c>
      <c r="AN24" s="6">
        <v>3646638000000</v>
      </c>
      <c r="AO24" s="6">
        <v>5107218000000</v>
      </c>
      <c r="AP24" s="6">
        <v>4766642000000</v>
      </c>
      <c r="AQ24" s="6">
        <v>5555376000000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50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7" sqref="B7"/>
    </sheetView>
  </sheetViews>
  <sheetFormatPr defaultColWidth="4.375" defaultRowHeight="15" x14ac:dyDescent="0.25"/>
  <cols>
    <col min="1" max="1" width="98.5" style="2" bestFit="1" customWidth="1"/>
    <col min="2" max="2" width="15.25" style="2" bestFit="1" customWidth="1"/>
    <col min="3" max="3" width="15.875" style="2" bestFit="1" customWidth="1"/>
    <col min="4" max="7" width="15.25" style="2" bestFit="1" customWidth="1"/>
    <col min="8" max="11" width="15.875" style="2" bestFit="1" customWidth="1"/>
    <col min="12" max="13" width="15.25" style="2" bestFit="1" customWidth="1"/>
    <col min="14" max="14" width="15.875" style="2" bestFit="1" customWidth="1"/>
    <col min="15" max="16" width="15.25" style="2" bestFit="1" customWidth="1"/>
    <col min="17" max="21" width="15.875" style="2" bestFit="1" customWidth="1"/>
    <col min="22" max="24" width="15.25" style="2" bestFit="1" customWidth="1"/>
    <col min="25" max="27" width="15.875" style="2" bestFit="1" customWidth="1"/>
    <col min="28" max="28" width="15.25" style="2" bestFit="1" customWidth="1"/>
    <col min="29" max="32" width="15.875" style="2" bestFit="1" customWidth="1"/>
    <col min="33" max="43" width="16.125" style="2" bestFit="1" customWidth="1"/>
    <col min="44" max="16384" width="4.375" style="2"/>
  </cols>
  <sheetData>
    <row r="1" spans="1:43" x14ac:dyDescent="0.25"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  <c r="G1" s="1" t="s">
        <v>73</v>
      </c>
      <c r="H1" s="1" t="s">
        <v>74</v>
      </c>
      <c r="I1" s="1" t="s">
        <v>75</v>
      </c>
      <c r="J1" s="1" t="s">
        <v>76</v>
      </c>
      <c r="K1" s="1" t="s">
        <v>77</v>
      </c>
      <c r="L1" s="1" t="s">
        <v>78</v>
      </c>
      <c r="M1" s="1" t="s">
        <v>79</v>
      </c>
      <c r="N1" s="1" t="s">
        <v>80</v>
      </c>
      <c r="O1" s="1" t="s">
        <v>81</v>
      </c>
      <c r="P1" s="1" t="s">
        <v>82</v>
      </c>
      <c r="Q1" s="1" t="s">
        <v>83</v>
      </c>
      <c r="R1" s="1" t="s">
        <v>84</v>
      </c>
      <c r="S1" s="1" t="s">
        <v>85</v>
      </c>
      <c r="T1" s="1" t="s">
        <v>86</v>
      </c>
      <c r="U1" s="1" t="s">
        <v>87</v>
      </c>
      <c r="V1" s="1" t="s">
        <v>88</v>
      </c>
      <c r="W1" s="1" t="s">
        <v>89</v>
      </c>
      <c r="X1" s="1" t="s">
        <v>90</v>
      </c>
      <c r="Y1" s="1" t="s">
        <v>91</v>
      </c>
      <c r="Z1" s="1" t="s">
        <v>92</v>
      </c>
      <c r="AA1" s="1" t="s">
        <v>93</v>
      </c>
      <c r="AB1" s="1" t="s">
        <v>94</v>
      </c>
      <c r="AC1" s="1" t="s">
        <v>95</v>
      </c>
      <c r="AD1" s="1" t="s">
        <v>96</v>
      </c>
      <c r="AE1" s="1" t="s">
        <v>97</v>
      </c>
      <c r="AF1" s="1" t="s">
        <v>98</v>
      </c>
      <c r="AG1" s="1" t="s">
        <v>99</v>
      </c>
      <c r="AH1" s="1" t="s">
        <v>100</v>
      </c>
      <c r="AI1" s="1" t="s">
        <v>101</v>
      </c>
      <c r="AJ1" s="1" t="s">
        <v>102</v>
      </c>
      <c r="AK1" s="1" t="s">
        <v>103</v>
      </c>
      <c r="AL1" s="1" t="s">
        <v>104</v>
      </c>
      <c r="AM1" s="1" t="s">
        <v>105</v>
      </c>
      <c r="AN1" s="1" t="s">
        <v>106</v>
      </c>
      <c r="AO1" s="1" t="s">
        <v>107</v>
      </c>
      <c r="AP1" s="1" t="s">
        <v>108</v>
      </c>
      <c r="AQ1" s="1" t="s">
        <v>109</v>
      </c>
    </row>
    <row r="2" spans="1:43" x14ac:dyDescent="0.25">
      <c r="A2" s="3" t="s">
        <v>133</v>
      </c>
      <c r="B2" s="6">
        <v>2918968000000</v>
      </c>
      <c r="C2" s="6">
        <v>557601000000</v>
      </c>
      <c r="D2" s="6">
        <v>1820747000000</v>
      </c>
      <c r="E2" s="6">
        <v>1090792000000</v>
      </c>
      <c r="F2" s="6">
        <v>4179795000000</v>
      </c>
      <c r="G2" s="6">
        <v>2833290000000</v>
      </c>
      <c r="H2" s="6">
        <v>-5123297000000</v>
      </c>
      <c r="I2" s="6">
        <v>-2299686000000</v>
      </c>
      <c r="J2" s="6">
        <v>-1663289000000</v>
      </c>
      <c r="K2" s="6">
        <v>5467195000000</v>
      </c>
      <c r="L2" s="6">
        <v>-408317000000</v>
      </c>
      <c r="M2" s="6">
        <v>12199359000000</v>
      </c>
      <c r="N2" s="6">
        <v>-15958790000000</v>
      </c>
      <c r="O2" s="6">
        <v>138782000000</v>
      </c>
      <c r="P2" s="6">
        <v>4912420000000</v>
      </c>
      <c r="Q2" s="6">
        <v>1994069000000</v>
      </c>
      <c r="R2" s="6">
        <v>-7468380000000</v>
      </c>
      <c r="S2" s="6">
        <v>6313461000000</v>
      </c>
      <c r="T2" s="6">
        <v>10839967000000</v>
      </c>
      <c r="U2" s="6">
        <v>15275094000000</v>
      </c>
      <c r="V2" s="6">
        <v>3780627000000</v>
      </c>
      <c r="W2" s="6">
        <v>-2574272000000</v>
      </c>
      <c r="X2" s="6">
        <v>7233243000000</v>
      </c>
      <c r="Y2" s="6">
        <v>7212821000000</v>
      </c>
      <c r="Z2" s="6">
        <v>-8667204000000</v>
      </c>
      <c r="AA2" s="6">
        <v>-7820921000000</v>
      </c>
      <c r="AB2" s="6">
        <v>6466438000000</v>
      </c>
      <c r="AC2" s="6">
        <v>-5697391000000</v>
      </c>
      <c r="AD2" s="6">
        <v>8559063000000</v>
      </c>
      <c r="AE2" s="6">
        <v>37438638000000</v>
      </c>
      <c r="AF2" s="6">
        <v>-17842240000000</v>
      </c>
      <c r="AG2" s="6">
        <v>52501586000000</v>
      </c>
      <c r="AH2" s="6">
        <v>-27640637000000</v>
      </c>
      <c r="AI2" s="6">
        <v>14403100000000</v>
      </c>
      <c r="AJ2" s="6">
        <v>10584942000000</v>
      </c>
      <c r="AK2" s="6">
        <v>11394989000000</v>
      </c>
      <c r="AL2" s="6">
        <v>2364771000000</v>
      </c>
      <c r="AM2" s="6">
        <v>-1678525000000</v>
      </c>
      <c r="AN2" s="6">
        <v>26029197000000</v>
      </c>
      <c r="AO2" s="6">
        <v>48695947000000</v>
      </c>
      <c r="AP2" s="6">
        <v>-268851000000</v>
      </c>
      <c r="AQ2" s="6">
        <v>-21303540000000</v>
      </c>
    </row>
    <row r="3" spans="1:43" x14ac:dyDescent="0.25">
      <c r="A3" s="5" t="s">
        <v>134</v>
      </c>
      <c r="B3" s="6">
        <v>1937211000000</v>
      </c>
      <c r="C3" s="6">
        <v>2442611000000</v>
      </c>
      <c r="D3" s="6">
        <v>2553457000000</v>
      </c>
      <c r="E3" s="6">
        <v>3391425000000</v>
      </c>
      <c r="F3" s="6">
        <v>3454647000000</v>
      </c>
      <c r="G3" s="6">
        <v>3771546000000</v>
      </c>
      <c r="H3" s="6">
        <v>3705612000000</v>
      </c>
      <c r="I3" s="6">
        <v>4074264000000</v>
      </c>
      <c r="J3" s="6">
        <v>3736808000000</v>
      </c>
      <c r="K3" s="6">
        <v>4754400000000</v>
      </c>
      <c r="L3" s="6">
        <v>4022901000000</v>
      </c>
      <c r="M3" s="6">
        <v>4667893000000</v>
      </c>
      <c r="N3" s="6">
        <v>4502361000000</v>
      </c>
      <c r="O3" s="6">
        <v>4842033000000</v>
      </c>
      <c r="P3" s="6">
        <v>5236881000000</v>
      </c>
      <c r="Q3" s="6">
        <v>5611272000000</v>
      </c>
      <c r="R3" s="6">
        <v>5302148000000</v>
      </c>
      <c r="S3" s="6">
        <v>5958986000000</v>
      </c>
      <c r="T3" s="6">
        <v>6140943000000</v>
      </c>
      <c r="U3" s="6">
        <v>6043233000000</v>
      </c>
      <c r="V3" s="6">
        <v>6130875000000</v>
      </c>
      <c r="W3" s="6">
        <v>6398288000000</v>
      </c>
      <c r="X3" s="6">
        <v>6703312000000</v>
      </c>
      <c r="Y3" s="6">
        <v>7051925000000</v>
      </c>
      <c r="Z3" s="6">
        <v>7008161000000</v>
      </c>
      <c r="AA3" s="6">
        <v>7576509000000</v>
      </c>
      <c r="AB3" s="6">
        <v>8250414000000</v>
      </c>
      <c r="AC3" s="6">
        <v>9742788000000</v>
      </c>
      <c r="AD3" s="6">
        <v>9989533000000</v>
      </c>
      <c r="AE3" s="6">
        <v>12375492000000</v>
      </c>
      <c r="AF3" s="6">
        <v>13581419000000</v>
      </c>
      <c r="AG3" s="6">
        <v>15004840000000</v>
      </c>
      <c r="AH3" s="6">
        <v>14113410000000</v>
      </c>
      <c r="AI3" s="6">
        <v>13679267000000</v>
      </c>
      <c r="AJ3" s="6">
        <v>14850118000000</v>
      </c>
      <c r="AK3" s="6">
        <v>16211950000000</v>
      </c>
      <c r="AL3" s="6">
        <v>14066302000000</v>
      </c>
      <c r="AM3" s="6">
        <v>17351007000000</v>
      </c>
      <c r="AN3" s="6">
        <v>16186994000000</v>
      </c>
      <c r="AO3" s="6">
        <v>19604904000000</v>
      </c>
      <c r="AP3" s="6">
        <v>17723658000000</v>
      </c>
      <c r="AQ3" s="6">
        <v>23506690000000</v>
      </c>
    </row>
    <row r="4" spans="1:43" x14ac:dyDescent="0.25">
      <c r="A4" s="5" t="s">
        <v>135</v>
      </c>
      <c r="B4" s="6">
        <v>-1170513000000</v>
      </c>
      <c r="C4" s="6">
        <v>-1639565000000</v>
      </c>
      <c r="D4" s="6">
        <v>-1448128000000</v>
      </c>
      <c r="E4" s="6">
        <v>-1666184000000</v>
      </c>
      <c r="F4" s="6">
        <v>-1734445000000</v>
      </c>
      <c r="G4" s="6">
        <v>-2236242000000</v>
      </c>
      <c r="H4" s="6">
        <v>-2158977000000</v>
      </c>
      <c r="I4" s="6">
        <v>-2220882000000</v>
      </c>
      <c r="J4" s="6">
        <v>-2167071000000</v>
      </c>
      <c r="K4" s="6">
        <v>-2193880000000</v>
      </c>
      <c r="L4" s="6">
        <v>-2422594000000</v>
      </c>
      <c r="M4" s="6">
        <v>-2150084000000</v>
      </c>
      <c r="N4" s="6">
        <v>-2225703000000</v>
      </c>
      <c r="O4" s="6">
        <v>-2493475000000</v>
      </c>
      <c r="P4" s="6">
        <v>-2667338000000</v>
      </c>
      <c r="Q4" s="6">
        <v>-2329598000000</v>
      </c>
      <c r="R4" s="6">
        <v>-1995321000000</v>
      </c>
      <c r="S4" s="6">
        <v>-2832475000000</v>
      </c>
      <c r="T4" s="6">
        <v>-2575520000000</v>
      </c>
      <c r="U4" s="6">
        <v>-2637128000000</v>
      </c>
      <c r="V4" s="6">
        <v>-2609661000000</v>
      </c>
      <c r="W4" s="6">
        <v>-3246279000000</v>
      </c>
      <c r="X4" s="6">
        <v>-3232769000000</v>
      </c>
      <c r="Y4" s="6">
        <v>-3213993000000</v>
      </c>
      <c r="Z4" s="6">
        <v>-3068324000000</v>
      </c>
      <c r="AA4" s="6">
        <v>-3506798000000</v>
      </c>
      <c r="AB4" s="6">
        <v>-3396006000000</v>
      </c>
      <c r="AC4" s="6">
        <v>-4348503000000</v>
      </c>
      <c r="AD4" s="6">
        <v>-4037360000000</v>
      </c>
      <c r="AE4" s="6">
        <v>-6425216000000</v>
      </c>
      <c r="AF4" s="6">
        <v>-6617685000000</v>
      </c>
      <c r="AG4" s="6">
        <v>-8522400000000</v>
      </c>
      <c r="AH4" s="6">
        <v>-8137461000000</v>
      </c>
      <c r="AI4" s="6">
        <v>-8404321000000</v>
      </c>
      <c r="AJ4" s="6">
        <v>-6521043000000</v>
      </c>
      <c r="AK4" s="6">
        <v>-6438694000000</v>
      </c>
      <c r="AL4" s="6">
        <v>-5511782000000</v>
      </c>
      <c r="AM4" s="6">
        <v>-6851670000000</v>
      </c>
      <c r="AN4" s="6">
        <v>-9826481000000</v>
      </c>
      <c r="AO4" s="6">
        <v>-9823496000000</v>
      </c>
      <c r="AP4" s="6">
        <v>-10783222000000</v>
      </c>
      <c r="AQ4" s="6">
        <v>-10563950000000</v>
      </c>
    </row>
    <row r="5" spans="1:43" x14ac:dyDescent="0.25">
      <c r="A5" s="5" t="s">
        <v>136</v>
      </c>
      <c r="B5" s="6">
        <v>27281000000</v>
      </c>
      <c r="C5" s="6">
        <v>26410000000</v>
      </c>
      <c r="D5" s="6">
        <v>44532000000</v>
      </c>
      <c r="E5" s="6">
        <v>11251000000</v>
      </c>
      <c r="F5" s="6">
        <v>26480000000</v>
      </c>
      <c r="G5" s="6">
        <v>36058000000</v>
      </c>
      <c r="H5" s="6">
        <v>34942000000</v>
      </c>
      <c r="I5" s="6">
        <v>100095000000</v>
      </c>
      <c r="J5" s="6">
        <v>107193000000</v>
      </c>
      <c r="K5" s="6">
        <v>116803000000</v>
      </c>
      <c r="L5" s="6">
        <v>115441000000</v>
      </c>
      <c r="M5" s="6">
        <v>91264000000</v>
      </c>
      <c r="N5" s="6">
        <v>141111000000</v>
      </c>
      <c r="O5" s="6">
        <v>135453000000</v>
      </c>
      <c r="P5" s="6">
        <v>158522000000</v>
      </c>
      <c r="Q5" s="6">
        <v>145592000000</v>
      </c>
      <c r="R5" s="6">
        <v>156082000000</v>
      </c>
      <c r="S5" s="6">
        <v>209344000000</v>
      </c>
      <c r="T5" s="6">
        <v>207844000000</v>
      </c>
      <c r="U5" s="6">
        <v>289541000000</v>
      </c>
      <c r="V5" s="6">
        <v>312137000000</v>
      </c>
      <c r="W5" s="6">
        <v>465641000000</v>
      </c>
      <c r="X5" s="6">
        <v>333978000000</v>
      </c>
      <c r="Y5" s="6">
        <v>432814000000</v>
      </c>
      <c r="Z5" s="6">
        <v>623674000000</v>
      </c>
      <c r="AA5" s="6">
        <v>884917000000</v>
      </c>
      <c r="AB5" s="6">
        <v>560555000000</v>
      </c>
      <c r="AC5" s="6">
        <v>723648000000</v>
      </c>
      <c r="AD5" s="6">
        <v>597334000000</v>
      </c>
      <c r="AE5" s="6">
        <v>853430000000</v>
      </c>
      <c r="AF5" s="6">
        <v>291180000000</v>
      </c>
      <c r="AG5" s="6">
        <v>854294000000</v>
      </c>
      <c r="AH5" s="6">
        <v>333479000000</v>
      </c>
      <c r="AI5" s="6">
        <v>428781000000</v>
      </c>
      <c r="AJ5" s="6">
        <v>605463000000</v>
      </c>
      <c r="AK5" s="6">
        <v>321406000000</v>
      </c>
      <c r="AL5" s="6">
        <v>756665000000</v>
      </c>
      <c r="AM5" s="6">
        <v>1184539000000</v>
      </c>
      <c r="AN5" s="6">
        <v>1126623000000</v>
      </c>
      <c r="AO5" s="6">
        <v>797908000000</v>
      </c>
      <c r="AP5" s="6">
        <v>871305000000</v>
      </c>
      <c r="AQ5" s="6">
        <v>1678345000000</v>
      </c>
    </row>
    <row r="6" spans="1:43" x14ac:dyDescent="0.25">
      <c r="A6" s="5" t="s">
        <v>137</v>
      </c>
      <c r="B6" s="6">
        <v>52149000000</v>
      </c>
      <c r="C6" s="6">
        <v>88413000000</v>
      </c>
      <c r="D6" s="6">
        <v>-9982000000</v>
      </c>
      <c r="E6" s="6">
        <v>538575000000</v>
      </c>
      <c r="F6" s="6">
        <v>109568000000</v>
      </c>
      <c r="G6" s="6">
        <v>128492000000</v>
      </c>
      <c r="H6" s="6">
        <v>354950000000</v>
      </c>
      <c r="I6" s="6">
        <v>-166172000000</v>
      </c>
      <c r="J6" s="6">
        <v>197693000000</v>
      </c>
      <c r="K6" s="6">
        <v>270402000000</v>
      </c>
      <c r="L6" s="6">
        <v>115801000000</v>
      </c>
      <c r="M6" s="6">
        <v>190438000000</v>
      </c>
      <c r="N6" s="6">
        <v>155910000000</v>
      </c>
      <c r="O6" s="6">
        <v>125306000000</v>
      </c>
      <c r="P6" s="6">
        <v>106178000000</v>
      </c>
      <c r="Q6" s="6">
        <v>74677000000</v>
      </c>
      <c r="R6" s="6">
        <v>237100000000</v>
      </c>
      <c r="S6" s="6">
        <v>42153000000</v>
      </c>
      <c r="T6" s="6">
        <v>126155000000</v>
      </c>
      <c r="U6" s="6">
        <v>130213000000</v>
      </c>
      <c r="V6" s="6">
        <v>448073000000</v>
      </c>
      <c r="W6" s="6">
        <v>150402000000</v>
      </c>
      <c r="X6" s="6">
        <v>43260000000</v>
      </c>
      <c r="Y6" s="6">
        <v>110494000000</v>
      </c>
      <c r="Z6" s="6">
        <v>326317000000</v>
      </c>
      <c r="AA6" s="6">
        <v>92285000000</v>
      </c>
      <c r="AB6" s="6">
        <v>77760000000</v>
      </c>
      <c r="AC6" s="6">
        <v>-270847000000</v>
      </c>
      <c r="AD6" s="6">
        <v>124593000000</v>
      </c>
      <c r="AE6" s="6">
        <v>302493000000</v>
      </c>
      <c r="AF6" s="6">
        <v>705390000000</v>
      </c>
      <c r="AG6" s="6">
        <v>522358000000</v>
      </c>
      <c r="AH6" s="6">
        <v>639199000000</v>
      </c>
      <c r="AI6" s="6">
        <v>263226000000</v>
      </c>
      <c r="AJ6" s="6">
        <v>126533000000</v>
      </c>
      <c r="AK6" s="6">
        <v>399872000000</v>
      </c>
      <c r="AL6" s="6">
        <v>623318000000</v>
      </c>
      <c r="AM6" s="6">
        <v>642956000000</v>
      </c>
      <c r="AN6" s="6">
        <v>418284000000</v>
      </c>
      <c r="AO6" s="6">
        <v>1120318000000</v>
      </c>
      <c r="AP6" s="6">
        <v>389330000000</v>
      </c>
      <c r="AQ6" s="6">
        <v>670605000000</v>
      </c>
    </row>
    <row r="7" spans="1:43" x14ac:dyDescent="0.25">
      <c r="A7" s="5" t="s">
        <v>138</v>
      </c>
      <c r="B7" s="6">
        <v>27976000000</v>
      </c>
      <c r="C7" s="6">
        <v>-26928000000</v>
      </c>
      <c r="D7" s="6">
        <v>25680000000</v>
      </c>
      <c r="E7" s="6">
        <v>30865000000</v>
      </c>
      <c r="F7" s="6">
        <v>40269000000</v>
      </c>
      <c r="G7" s="6">
        <v>-1043000000</v>
      </c>
      <c r="H7" s="6">
        <v>29965000000</v>
      </c>
      <c r="I7" s="6">
        <v>45052000000</v>
      </c>
      <c r="J7" s="6">
        <v>23971000000</v>
      </c>
      <c r="K7" s="6">
        <v>64104000000</v>
      </c>
      <c r="L7" s="6">
        <v>29950000000</v>
      </c>
      <c r="M7" s="6">
        <v>177521000000</v>
      </c>
      <c r="N7" s="6">
        <v>15031000000</v>
      </c>
      <c r="O7" s="6">
        <v>21541000000</v>
      </c>
      <c r="P7" s="6">
        <v>82545000000</v>
      </c>
      <c r="Q7" s="6">
        <v>110142000000</v>
      </c>
      <c r="R7" s="6">
        <v>17985000000</v>
      </c>
      <c r="S7" s="6">
        <v>70233000000</v>
      </c>
      <c r="T7" s="6">
        <v>32574000000</v>
      </c>
      <c r="U7" s="6">
        <v>77443000000</v>
      </c>
      <c r="V7" s="6">
        <v>11498000000</v>
      </c>
      <c r="W7" s="6">
        <v>35697000000</v>
      </c>
      <c r="X7" s="6">
        <v>-14618000000</v>
      </c>
      <c r="Y7" s="6">
        <v>-1563000000</v>
      </c>
      <c r="Z7" s="6">
        <v>31186000000</v>
      </c>
      <c r="AA7" s="6">
        <v>21386000000</v>
      </c>
      <c r="AB7" s="6">
        <v>21819000000</v>
      </c>
      <c r="AC7" s="6">
        <v>36818000000</v>
      </c>
      <c r="AD7" s="6">
        <v>64485000000</v>
      </c>
      <c r="AE7" s="6">
        <v>45528000000</v>
      </c>
      <c r="AF7" s="6">
        <v>49432000000</v>
      </c>
      <c r="AG7" s="6">
        <v>-70569000000</v>
      </c>
      <c r="AH7" s="6">
        <v>7853000000</v>
      </c>
      <c r="AI7" s="6">
        <v>29461000000</v>
      </c>
      <c r="AJ7" s="6">
        <v>84293000000</v>
      </c>
      <c r="AK7" s="6">
        <v>164152000000</v>
      </c>
      <c r="AL7" s="6">
        <v>419650000000</v>
      </c>
      <c r="AM7" s="6">
        <v>-370683000000</v>
      </c>
      <c r="AN7" s="6">
        <v>-14142000000</v>
      </c>
      <c r="AO7" s="6">
        <v>103238000000</v>
      </c>
      <c r="AP7" s="6">
        <v>98567000000</v>
      </c>
      <c r="AQ7" s="6">
        <v>12559000000</v>
      </c>
    </row>
    <row r="8" spans="1:43" x14ac:dyDescent="0.25">
      <c r="A8" s="5" t="s">
        <v>139</v>
      </c>
      <c r="B8" s="14">
        <v>335000000</v>
      </c>
      <c r="C8" s="6">
        <v>17658000000</v>
      </c>
      <c r="D8" s="6">
        <v>-2513000000</v>
      </c>
      <c r="E8" s="6">
        <v>73862000000</v>
      </c>
      <c r="F8" s="6">
        <v>3834000000</v>
      </c>
      <c r="G8" s="6">
        <v>54402000000</v>
      </c>
      <c r="H8" s="6">
        <v>56120000000</v>
      </c>
      <c r="I8" s="6">
        <v>39489000000</v>
      </c>
      <c r="J8" s="6">
        <v>16479000000</v>
      </c>
      <c r="K8" s="6">
        <v>63288000000</v>
      </c>
      <c r="L8" s="6">
        <v>48426000000</v>
      </c>
      <c r="M8" s="6">
        <v>45765000000</v>
      </c>
      <c r="N8" s="6">
        <v>32392000000</v>
      </c>
      <c r="O8" s="6">
        <v>46953000000</v>
      </c>
      <c r="P8" s="6">
        <v>53575000000</v>
      </c>
      <c r="Q8" s="6">
        <v>56097000000</v>
      </c>
      <c r="R8" s="6">
        <v>37493000000</v>
      </c>
      <c r="S8" s="6">
        <v>57505000000</v>
      </c>
      <c r="T8" s="6">
        <v>40825000000</v>
      </c>
      <c r="U8" s="6">
        <v>212204000000</v>
      </c>
      <c r="V8" s="6">
        <v>44256000000</v>
      </c>
      <c r="W8" s="6">
        <v>72210000000</v>
      </c>
      <c r="X8" s="6">
        <v>56586000000</v>
      </c>
      <c r="Y8" s="6">
        <v>71422000000</v>
      </c>
      <c r="Z8" s="6">
        <v>86802000000</v>
      </c>
      <c r="AA8" s="6">
        <v>102102000000</v>
      </c>
      <c r="AB8" s="6">
        <v>127227000000</v>
      </c>
      <c r="AC8" s="6">
        <v>121103000000</v>
      </c>
      <c r="AD8" s="6">
        <v>71100000000</v>
      </c>
      <c r="AE8" s="6">
        <v>63428000000</v>
      </c>
      <c r="AF8" s="6">
        <v>71758000000</v>
      </c>
      <c r="AG8" s="6">
        <v>84569000000</v>
      </c>
      <c r="AH8" s="6">
        <v>95060000000</v>
      </c>
      <c r="AI8" s="6">
        <v>70697000000</v>
      </c>
      <c r="AJ8" s="6">
        <v>85170000000</v>
      </c>
      <c r="AK8" s="6">
        <v>82178000000</v>
      </c>
      <c r="AL8" s="6">
        <v>78515000000</v>
      </c>
      <c r="AM8" s="6">
        <v>119251000000</v>
      </c>
      <c r="AN8" s="6">
        <v>181392000000</v>
      </c>
      <c r="AO8" s="6">
        <v>195744000000</v>
      </c>
      <c r="AP8" s="6">
        <v>167441000000</v>
      </c>
      <c r="AQ8" s="6">
        <v>142883000000</v>
      </c>
    </row>
    <row r="9" spans="1:43" x14ac:dyDescent="0.25">
      <c r="A9" s="5" t="s">
        <v>140</v>
      </c>
      <c r="B9" s="6">
        <v>-675072000000</v>
      </c>
      <c r="C9" s="6">
        <v>-710654000000</v>
      </c>
      <c r="D9" s="6">
        <v>-340397000000</v>
      </c>
      <c r="E9" s="6">
        <v>-1340239000000</v>
      </c>
      <c r="F9" s="6">
        <v>-940561000000</v>
      </c>
      <c r="G9" s="6">
        <v>-886575000000</v>
      </c>
      <c r="H9" s="6">
        <v>-1026230000000</v>
      </c>
      <c r="I9" s="6">
        <v>-1135282000000</v>
      </c>
      <c r="J9" s="6">
        <v>-985291000000</v>
      </c>
      <c r="K9" s="6">
        <v>-1076207000000</v>
      </c>
      <c r="L9" s="6">
        <v>-1126667000000</v>
      </c>
      <c r="M9" s="6">
        <v>-1254969000000</v>
      </c>
      <c r="N9" s="6">
        <v>-1205758000000</v>
      </c>
      <c r="O9" s="6">
        <v>-1211736000000</v>
      </c>
      <c r="P9" s="6">
        <v>-1222718000000</v>
      </c>
      <c r="Q9" s="6">
        <v>-1893955000000</v>
      </c>
      <c r="R9" s="6">
        <v>-1470559000000</v>
      </c>
      <c r="S9" s="6">
        <v>-1241483000000</v>
      </c>
      <c r="T9" s="6">
        <v>-1457092000000</v>
      </c>
      <c r="U9" s="6">
        <v>-1751475000000</v>
      </c>
      <c r="V9" s="6">
        <v>-1715762000000</v>
      </c>
      <c r="W9" s="6">
        <v>-1386480000000</v>
      </c>
      <c r="X9" s="6">
        <v>-1424323000000</v>
      </c>
      <c r="Y9" s="6">
        <v>-1701890000000</v>
      </c>
      <c r="Z9" s="6">
        <v>-1812128000000</v>
      </c>
      <c r="AA9" s="6">
        <v>-1975186000000</v>
      </c>
      <c r="AB9" s="6">
        <v>-2171299000000</v>
      </c>
      <c r="AC9" s="6">
        <v>-2709699000000</v>
      </c>
      <c r="AD9" s="6">
        <v>-2072955000000</v>
      </c>
      <c r="AE9" s="6">
        <v>-2162786000000</v>
      </c>
      <c r="AF9" s="6">
        <v>-2206246000000</v>
      </c>
      <c r="AG9" s="6">
        <v>-2538803000000</v>
      </c>
      <c r="AH9" s="6">
        <v>-2414711000000</v>
      </c>
      <c r="AI9" s="6">
        <v>-2638659000000</v>
      </c>
      <c r="AJ9" s="6">
        <v>-2946364000000</v>
      </c>
      <c r="AK9" s="6">
        <v>-3110087000000</v>
      </c>
      <c r="AL9" s="6">
        <v>-3290881000000</v>
      </c>
      <c r="AM9" s="6">
        <v>-2504587000000</v>
      </c>
      <c r="AN9" s="6">
        <v>-2595765000000</v>
      </c>
      <c r="AO9" s="6">
        <v>-7004151000000</v>
      </c>
      <c r="AP9" s="6">
        <v>-3084698000000</v>
      </c>
      <c r="AQ9" s="6">
        <v>-2699191000000</v>
      </c>
    </row>
    <row r="10" spans="1:43" x14ac:dyDescent="0.25">
      <c r="A10" s="5" t="s">
        <v>141</v>
      </c>
      <c r="B10" s="6">
        <v>-87350000000</v>
      </c>
      <c r="C10" s="6">
        <v>-47511000000</v>
      </c>
      <c r="D10" s="6">
        <v>-42956000000</v>
      </c>
      <c r="E10" s="6">
        <v>-30361000000</v>
      </c>
      <c r="F10" s="6">
        <v>-91326000000</v>
      </c>
      <c r="G10" s="6">
        <v>-79294000000</v>
      </c>
      <c r="H10" s="6">
        <v>-90034000000</v>
      </c>
      <c r="I10" s="6">
        <v>-233088000000</v>
      </c>
      <c r="J10" s="6">
        <v>-114630000000</v>
      </c>
      <c r="K10" s="6">
        <v>-237212000000</v>
      </c>
      <c r="L10" s="6">
        <v>-195519000000</v>
      </c>
      <c r="M10" s="6">
        <v>-202331000000</v>
      </c>
      <c r="N10" s="6">
        <v>-156907000000</v>
      </c>
      <c r="O10" s="6">
        <v>-221791000000</v>
      </c>
      <c r="P10" s="6">
        <v>-214168000000</v>
      </c>
      <c r="Q10" s="6">
        <v>-259421000000</v>
      </c>
      <c r="R10" s="6">
        <v>-305071000000</v>
      </c>
      <c r="S10" s="6">
        <v>-108454000000</v>
      </c>
      <c r="T10" s="6">
        <v>-199568000000</v>
      </c>
      <c r="U10" s="6">
        <v>-586393000000</v>
      </c>
      <c r="V10" s="6">
        <v>-269856000000</v>
      </c>
      <c r="W10" s="6">
        <v>-158777000000</v>
      </c>
      <c r="X10" s="6">
        <v>-321830000000</v>
      </c>
      <c r="Y10" s="6">
        <v>-739223000000</v>
      </c>
      <c r="Z10" s="6">
        <v>-403559000000</v>
      </c>
      <c r="AA10" s="6">
        <v>-503644000000</v>
      </c>
      <c r="AB10" s="6">
        <v>-170564000000</v>
      </c>
      <c r="AC10" s="6">
        <v>-76786000000</v>
      </c>
      <c r="AD10" s="6">
        <v>-1337815000000</v>
      </c>
      <c r="AE10" s="6">
        <v>-550423000000</v>
      </c>
      <c r="AF10" s="6">
        <v>-252044000000</v>
      </c>
      <c r="AG10" s="6">
        <v>-101165000000</v>
      </c>
      <c r="AH10" s="6">
        <v>-1827156000000</v>
      </c>
      <c r="AI10" s="6">
        <v>-802346000000</v>
      </c>
      <c r="AJ10" s="6">
        <v>-879190000000</v>
      </c>
      <c r="AK10" s="6">
        <v>-957995000000</v>
      </c>
      <c r="AL10" s="6">
        <v>-927857000000</v>
      </c>
      <c r="AM10" s="6">
        <v>-944315000000</v>
      </c>
      <c r="AN10" s="6">
        <v>-580593000000</v>
      </c>
      <c r="AO10" s="6">
        <v>-138771000000</v>
      </c>
      <c r="AP10" s="6">
        <v>-2518219000000</v>
      </c>
      <c r="AQ10" s="6">
        <v>-1233496000000</v>
      </c>
    </row>
    <row r="11" spans="1:43" x14ac:dyDescent="0.25">
      <c r="A11" s="5" t="s">
        <v>142</v>
      </c>
      <c r="B11" s="6">
        <v>112017000000</v>
      </c>
      <c r="C11" s="6">
        <v>150434000000</v>
      </c>
      <c r="D11" s="6">
        <v>779693000000</v>
      </c>
      <c r="E11" s="6">
        <v>1009194000000</v>
      </c>
      <c r="F11" s="6">
        <v>868466000000</v>
      </c>
      <c r="G11" s="6">
        <v>787344000000</v>
      </c>
      <c r="H11" s="6">
        <v>906348000000</v>
      </c>
      <c r="I11" s="6">
        <v>503476000000</v>
      </c>
      <c r="J11" s="6">
        <v>815152000000</v>
      </c>
      <c r="K11" s="6">
        <v>1761698000000</v>
      </c>
      <c r="L11" s="6">
        <v>587739000000</v>
      </c>
      <c r="M11" s="6">
        <v>1565497000000</v>
      </c>
      <c r="N11" s="6">
        <v>1258437000000</v>
      </c>
      <c r="O11" s="6">
        <v>1244284000000</v>
      </c>
      <c r="P11" s="6">
        <v>1533477000000</v>
      </c>
      <c r="Q11" s="6">
        <v>1514806000000</v>
      </c>
      <c r="R11" s="6">
        <v>1979857000000</v>
      </c>
      <c r="S11" s="6">
        <v>2155809000000</v>
      </c>
      <c r="T11" s="6">
        <v>2316161000000</v>
      </c>
      <c r="U11" s="6">
        <v>1777638000000</v>
      </c>
      <c r="V11" s="6">
        <v>2351560000000</v>
      </c>
      <c r="W11" s="6">
        <v>2330702000000</v>
      </c>
      <c r="X11" s="6">
        <v>2143596000000</v>
      </c>
      <c r="Y11" s="6">
        <v>2009986000000</v>
      </c>
      <c r="Z11" s="6">
        <v>2792129000000</v>
      </c>
      <c r="AA11" s="6">
        <v>2691571000000</v>
      </c>
      <c r="AB11" s="6">
        <v>3299906000000</v>
      </c>
      <c r="AC11" s="6">
        <v>3218522000000</v>
      </c>
      <c r="AD11" s="6">
        <v>3398915000000</v>
      </c>
      <c r="AE11" s="6">
        <v>4501946000000</v>
      </c>
      <c r="AF11" s="6">
        <v>5623204000000</v>
      </c>
      <c r="AG11" s="6">
        <v>5233124000000</v>
      </c>
      <c r="AH11" s="6">
        <v>2809673000000</v>
      </c>
      <c r="AI11" s="6">
        <v>2626106000000</v>
      </c>
      <c r="AJ11" s="6">
        <v>5404980000000</v>
      </c>
      <c r="AK11" s="6">
        <v>6672782000000</v>
      </c>
      <c r="AL11" s="6">
        <v>6213930000000</v>
      </c>
      <c r="AM11" s="6">
        <v>8626498000000</v>
      </c>
      <c r="AN11" s="6">
        <v>4896312000000</v>
      </c>
      <c r="AO11" s="6">
        <v>4855694000000</v>
      </c>
      <c r="AP11" s="6">
        <v>2864162000000</v>
      </c>
      <c r="AQ11" s="6">
        <v>11514445000000</v>
      </c>
    </row>
    <row r="12" spans="1:43" x14ac:dyDescent="0.25">
      <c r="A12" s="7" t="s">
        <v>143</v>
      </c>
      <c r="B12" s="6">
        <v>-9172181000000</v>
      </c>
      <c r="C12" s="6">
        <v>-10455857000000</v>
      </c>
      <c r="D12" s="6">
        <v>-7865711000000</v>
      </c>
      <c r="E12" s="6">
        <v>-7985154000000</v>
      </c>
      <c r="F12" s="6">
        <v>-9235834000000</v>
      </c>
      <c r="G12" s="6">
        <v>-3573341000000</v>
      </c>
      <c r="H12" s="6">
        <v>-10454198000000</v>
      </c>
      <c r="I12" s="6">
        <v>-14021155000000</v>
      </c>
      <c r="J12" s="6">
        <v>-2684302000000</v>
      </c>
      <c r="K12" s="6">
        <v>3615632000000</v>
      </c>
      <c r="L12" s="6">
        <v>-9697434000000</v>
      </c>
      <c r="M12" s="6">
        <v>-4872523000000</v>
      </c>
      <c r="N12" s="6">
        <v>-2666744000000</v>
      </c>
      <c r="O12" s="6">
        <v>-7986651000000</v>
      </c>
      <c r="P12" s="6">
        <v>-2677859000000</v>
      </c>
      <c r="Q12" s="6">
        <v>-10473348000000</v>
      </c>
      <c r="R12" s="6">
        <v>-10302154000000</v>
      </c>
      <c r="S12" s="6">
        <v>-5214143000000</v>
      </c>
      <c r="T12" s="6">
        <v>-20615258000000</v>
      </c>
      <c r="U12" s="6">
        <v>-31021112000000</v>
      </c>
      <c r="V12" s="6">
        <v>-3214500000000</v>
      </c>
      <c r="W12" s="6">
        <v>-8022181000000</v>
      </c>
      <c r="X12" s="6">
        <v>-9066757000000</v>
      </c>
      <c r="Y12" s="6">
        <v>-21932477000000</v>
      </c>
      <c r="Z12" s="6">
        <v>-15536367000000</v>
      </c>
      <c r="AA12" s="6">
        <v>-11147301000000</v>
      </c>
      <c r="AB12" s="6">
        <v>-8882461000000</v>
      </c>
      <c r="AC12" s="6">
        <v>-23250281000000</v>
      </c>
      <c r="AD12" s="6">
        <v>-34027802000000</v>
      </c>
      <c r="AE12" s="6">
        <v>8739843000000</v>
      </c>
      <c r="AF12" s="6">
        <v>-42893181000000</v>
      </c>
      <c r="AG12" s="6">
        <v>-41788419000000</v>
      </c>
      <c r="AH12" s="6">
        <v>-29421557000000</v>
      </c>
      <c r="AI12" s="6">
        <v>-8297341000000</v>
      </c>
      <c r="AJ12" s="6">
        <v>981081000000</v>
      </c>
      <c r="AK12" s="6">
        <v>-59075326000000</v>
      </c>
      <c r="AL12" s="6">
        <v>-12064266000000</v>
      </c>
      <c r="AM12" s="6">
        <v>-77838386000000</v>
      </c>
      <c r="AN12" s="6">
        <v>30453106000000</v>
      </c>
      <c r="AO12" s="6">
        <v>-95793335000000</v>
      </c>
      <c r="AP12" s="6">
        <v>-51034362000000</v>
      </c>
      <c r="AQ12" s="6">
        <v>-77887045000000</v>
      </c>
    </row>
    <row r="13" spans="1:43" x14ac:dyDescent="0.25">
      <c r="A13" s="8" t="s">
        <v>144</v>
      </c>
      <c r="B13" s="9">
        <v>1255250000000</v>
      </c>
      <c r="C13" s="9">
        <v>-111680000000</v>
      </c>
      <c r="D13" s="9">
        <v>2380000000</v>
      </c>
      <c r="E13" s="6">
        <v>1097620000000</v>
      </c>
      <c r="F13" s="10">
        <v>0</v>
      </c>
      <c r="G13" s="10">
        <v>0</v>
      </c>
      <c r="H13" s="15">
        <v>0</v>
      </c>
      <c r="I13" s="9">
        <v>-106000000000</v>
      </c>
      <c r="J13" s="9">
        <v>106000000000</v>
      </c>
      <c r="K13" s="10">
        <v>0</v>
      </c>
      <c r="L13" s="9">
        <v>-250383000000</v>
      </c>
      <c r="M13" s="9">
        <v>-200000000000</v>
      </c>
      <c r="N13" s="9">
        <v>-1099618000000</v>
      </c>
      <c r="O13" s="9">
        <v>50000000000</v>
      </c>
      <c r="P13" s="9">
        <v>100000000000</v>
      </c>
      <c r="Q13" s="9">
        <v>590000000000</v>
      </c>
      <c r="R13" s="9">
        <v>610000000000</v>
      </c>
      <c r="S13" s="9">
        <v>200000000000</v>
      </c>
      <c r="T13" s="10">
        <v>0</v>
      </c>
      <c r="U13" s="9">
        <v>-100000000000</v>
      </c>
      <c r="V13" s="9">
        <v>-496125000000</v>
      </c>
      <c r="W13" s="9">
        <v>-219285000000</v>
      </c>
      <c r="X13" s="9">
        <v>615410000000</v>
      </c>
      <c r="Y13" s="9">
        <v>94654000000</v>
      </c>
      <c r="Z13" s="9">
        <v>-194654000000</v>
      </c>
      <c r="AA13" s="9">
        <v>-1151286000000</v>
      </c>
      <c r="AB13" s="9">
        <v>-1436046000000</v>
      </c>
      <c r="AC13" s="9">
        <v>-5922498000000</v>
      </c>
      <c r="AD13" s="9">
        <v>279830000000</v>
      </c>
      <c r="AE13" s="9">
        <v>1626235000000</v>
      </c>
      <c r="AF13" s="9">
        <v>-3153905000000</v>
      </c>
      <c r="AG13" s="9">
        <v>1662892000000</v>
      </c>
      <c r="AH13" s="9">
        <v>64680000000</v>
      </c>
      <c r="AI13" s="9">
        <v>863941000000</v>
      </c>
      <c r="AJ13" s="9">
        <v>2188944000000</v>
      </c>
      <c r="AK13" s="9">
        <v>-2097140000000</v>
      </c>
      <c r="AL13" s="9">
        <v>-1459381000000</v>
      </c>
      <c r="AM13" s="9">
        <v>1087368000000</v>
      </c>
      <c r="AN13" s="9">
        <v>-5872266000000</v>
      </c>
      <c r="AO13" s="9">
        <v>-14302752000000</v>
      </c>
      <c r="AP13" s="9">
        <v>12925719000000</v>
      </c>
      <c r="AQ13" s="9">
        <v>4966970000000</v>
      </c>
    </row>
    <row r="14" spans="1:43" x14ac:dyDescent="0.25">
      <c r="A14" s="8" t="s">
        <v>145</v>
      </c>
      <c r="B14" s="9">
        <v>-1161859000000</v>
      </c>
      <c r="C14" s="9">
        <v>-5763644000000</v>
      </c>
      <c r="D14" s="9">
        <v>-4731731000000</v>
      </c>
      <c r="E14" s="6">
        <v>-1391007000000</v>
      </c>
      <c r="F14" s="9">
        <v>-3204092000000</v>
      </c>
      <c r="G14" s="9">
        <v>4845194000000</v>
      </c>
      <c r="H14" s="9">
        <v>-10647793000000</v>
      </c>
      <c r="I14" s="9">
        <v>-7349635000000</v>
      </c>
      <c r="J14" s="9">
        <v>8184228000000</v>
      </c>
      <c r="K14" s="9">
        <v>7789581000000</v>
      </c>
      <c r="L14" s="9">
        <v>-8372997000000</v>
      </c>
      <c r="M14" s="9">
        <v>-2470910000000</v>
      </c>
      <c r="N14" s="9">
        <v>4489410000000</v>
      </c>
      <c r="O14" s="9">
        <v>1960032000000</v>
      </c>
      <c r="P14" s="9">
        <v>-1221905000000</v>
      </c>
      <c r="Q14" s="9">
        <v>-324584000000</v>
      </c>
      <c r="R14" s="9">
        <v>-4951096000000</v>
      </c>
      <c r="S14" s="9">
        <v>2860645000000</v>
      </c>
      <c r="T14" s="9">
        <v>-15280952000000</v>
      </c>
      <c r="U14" s="9">
        <v>-12570992000000</v>
      </c>
      <c r="V14" s="9">
        <v>6441908000000</v>
      </c>
      <c r="W14" s="9">
        <v>-782678000000</v>
      </c>
      <c r="X14" s="9">
        <v>-6868533000000</v>
      </c>
      <c r="Y14" s="9">
        <v>-5084099000000</v>
      </c>
      <c r="Z14" s="9">
        <v>6125298000000</v>
      </c>
      <c r="AA14" s="9">
        <v>7909491000000</v>
      </c>
      <c r="AB14" s="9">
        <v>3808231000000</v>
      </c>
      <c r="AC14" s="9">
        <v>8167284000000</v>
      </c>
      <c r="AD14" s="9">
        <v>-9073661000000</v>
      </c>
      <c r="AE14" s="9">
        <v>7716340000000</v>
      </c>
      <c r="AF14" s="9">
        <v>-20980453000000</v>
      </c>
      <c r="AG14" s="9">
        <v>10172378000000</v>
      </c>
      <c r="AH14" s="9">
        <v>-5352966000000</v>
      </c>
      <c r="AI14" s="9">
        <v>15349772000000</v>
      </c>
      <c r="AJ14" s="9">
        <v>3023764000000</v>
      </c>
      <c r="AK14" s="9">
        <v>-7547016000000</v>
      </c>
      <c r="AL14" s="9">
        <v>-6812081000000</v>
      </c>
      <c r="AM14" s="9">
        <v>-9513935000000</v>
      </c>
      <c r="AN14" s="9">
        <v>9794699000000</v>
      </c>
      <c r="AO14" s="9">
        <v>-13384634000000</v>
      </c>
      <c r="AP14" s="9">
        <v>-13694374000000</v>
      </c>
      <c r="AQ14" s="9">
        <v>-19661729000000</v>
      </c>
    </row>
    <row r="15" spans="1:43" x14ac:dyDescent="0.25">
      <c r="A15" s="8" t="s">
        <v>146</v>
      </c>
      <c r="B15" s="9">
        <v>38347000000</v>
      </c>
      <c r="C15" s="9">
        <v>-103266000000</v>
      </c>
      <c r="D15" s="9">
        <v>87550000000</v>
      </c>
      <c r="E15" s="6">
        <v>16413000000</v>
      </c>
      <c r="F15" s="9">
        <v>-60830000000</v>
      </c>
      <c r="G15" s="9">
        <v>140400000000</v>
      </c>
      <c r="H15" s="9">
        <v>-187199000000</v>
      </c>
      <c r="I15" s="9">
        <v>168401000000</v>
      </c>
      <c r="J15" s="9">
        <v>-98220000000</v>
      </c>
      <c r="K15" s="9">
        <v>84819000000</v>
      </c>
      <c r="L15" s="9">
        <v>2064000000</v>
      </c>
      <c r="M15" s="9">
        <v>-196957000000</v>
      </c>
      <c r="N15" s="9">
        <v>208294000000</v>
      </c>
      <c r="O15" s="10">
        <v>0</v>
      </c>
      <c r="P15" s="9">
        <v>-1650000000</v>
      </c>
      <c r="Q15" s="9">
        <v>1650000000</v>
      </c>
      <c r="R15" s="10">
        <v>0</v>
      </c>
      <c r="S15" s="10">
        <v>0</v>
      </c>
      <c r="T15" s="10">
        <v>0</v>
      </c>
      <c r="U15" s="10">
        <v>0</v>
      </c>
      <c r="V15" s="9">
        <v>-85426000000</v>
      </c>
      <c r="W15" s="9">
        <v>28815000000</v>
      </c>
      <c r="X15" s="9">
        <v>8083000000</v>
      </c>
      <c r="Y15" s="9">
        <v>48528000000</v>
      </c>
      <c r="Z15" s="9">
        <v>-21942994000000</v>
      </c>
      <c r="AA15" s="9">
        <v>21926924000000</v>
      </c>
      <c r="AB15" s="9">
        <v>16070000000</v>
      </c>
      <c r="AC15" s="10">
        <v>0</v>
      </c>
      <c r="AD15" s="10">
        <v>0</v>
      </c>
      <c r="AE15" s="9">
        <v>-205729000000</v>
      </c>
      <c r="AF15" s="9">
        <v>205729000000</v>
      </c>
      <c r="AG15" s="9">
        <v>-110079000000</v>
      </c>
      <c r="AH15" s="9">
        <v>-14498000000</v>
      </c>
      <c r="AI15" s="9">
        <v>-256515000000</v>
      </c>
      <c r="AJ15" s="9">
        <v>381092000000</v>
      </c>
      <c r="AK15" s="10">
        <v>0</v>
      </c>
      <c r="AL15" s="10">
        <v>0</v>
      </c>
      <c r="AM15" s="9">
        <v>-40229000000</v>
      </c>
      <c r="AN15" s="9">
        <v>-107924000000</v>
      </c>
      <c r="AO15" s="9">
        <v>148153000000</v>
      </c>
      <c r="AP15" s="9">
        <v>-111102000000</v>
      </c>
      <c r="AQ15" s="9">
        <v>-309897000000</v>
      </c>
    </row>
    <row r="16" spans="1:43" x14ac:dyDescent="0.25">
      <c r="A16" s="8" t="s">
        <v>147</v>
      </c>
      <c r="B16" s="9">
        <v>-9775692000000</v>
      </c>
      <c r="C16" s="9">
        <v>-5444671000000</v>
      </c>
      <c r="D16" s="9">
        <v>-2136499000000</v>
      </c>
      <c r="E16" s="6">
        <v>-8308675000000</v>
      </c>
      <c r="F16" s="9">
        <v>-5877840000000</v>
      </c>
      <c r="G16" s="9">
        <v>-8842667000000</v>
      </c>
      <c r="H16" s="9">
        <v>335501000000</v>
      </c>
      <c r="I16" s="9">
        <v>-7886708000000</v>
      </c>
      <c r="J16" s="9">
        <v>-11389141000000</v>
      </c>
      <c r="K16" s="9">
        <v>-4451924000000</v>
      </c>
      <c r="L16" s="9">
        <v>-554841000000</v>
      </c>
      <c r="M16" s="9">
        <v>-2230964000000</v>
      </c>
      <c r="N16" s="9">
        <v>-5804923000000</v>
      </c>
      <c r="O16" s="9">
        <v>-8844766000000</v>
      </c>
      <c r="P16" s="9">
        <v>-2386348000000</v>
      </c>
      <c r="Q16" s="9">
        <v>-6156693000000</v>
      </c>
      <c r="R16" s="9">
        <v>-6080698000000</v>
      </c>
      <c r="S16" s="9">
        <v>-7966854000000</v>
      </c>
      <c r="T16" s="9">
        <v>-4090841000000</v>
      </c>
      <c r="U16" s="9">
        <v>-13860321000000</v>
      </c>
      <c r="V16" s="9">
        <v>-8956388000000</v>
      </c>
      <c r="W16" s="9">
        <v>-4561592000000</v>
      </c>
      <c r="X16" s="9">
        <v>326260000000</v>
      </c>
      <c r="Y16" s="9">
        <v>-11696088000000</v>
      </c>
      <c r="Z16" s="9">
        <v>-433588000000</v>
      </c>
      <c r="AA16" s="9">
        <v>-34043933000000</v>
      </c>
      <c r="AB16" s="9">
        <v>-8809462000000</v>
      </c>
      <c r="AC16" s="9">
        <v>-17358499000000</v>
      </c>
      <c r="AD16" s="9">
        <v>-24672329000000</v>
      </c>
      <c r="AE16" s="9">
        <v>1173294000000</v>
      </c>
      <c r="AF16" s="9">
        <v>-4361231000000</v>
      </c>
      <c r="AG16" s="9">
        <v>-51687646000000</v>
      </c>
      <c r="AH16" s="9">
        <v>-20045087000000</v>
      </c>
      <c r="AI16" s="9">
        <v>-22737355000000</v>
      </c>
      <c r="AJ16" s="9">
        <v>-12537721000000</v>
      </c>
      <c r="AK16" s="9">
        <v>-43760383000000</v>
      </c>
      <c r="AL16" s="9">
        <v>-3621211000000</v>
      </c>
      <c r="AM16" s="9">
        <v>-62442790000000</v>
      </c>
      <c r="AN16" s="9">
        <v>19101444000000</v>
      </c>
      <c r="AO16" s="9">
        <v>-80849250000000</v>
      </c>
      <c r="AP16" s="9">
        <v>-49867097000000</v>
      </c>
      <c r="AQ16" s="9">
        <v>-55309366000000</v>
      </c>
    </row>
    <row r="17" spans="1:43" x14ac:dyDescent="0.25">
      <c r="A17" s="8" t="s">
        <v>148</v>
      </c>
      <c r="B17" s="9">
        <v>-37353000000</v>
      </c>
      <c r="C17" s="9">
        <v>-170403000000</v>
      </c>
      <c r="D17" s="9">
        <v>29011000000</v>
      </c>
      <c r="E17" s="6">
        <v>-425475000000</v>
      </c>
      <c r="F17" s="9">
        <v>-127721000000</v>
      </c>
      <c r="G17" s="9">
        <v>-116425000000</v>
      </c>
      <c r="H17" s="9">
        <v>-142502000000</v>
      </c>
      <c r="I17" s="9">
        <v>-173821000000</v>
      </c>
      <c r="J17" s="9">
        <v>-151771000000</v>
      </c>
      <c r="K17" s="9">
        <v>-451154000000</v>
      </c>
      <c r="L17" s="9">
        <v>-198096000000</v>
      </c>
      <c r="M17" s="9">
        <v>-215827000000</v>
      </c>
      <c r="N17" s="9">
        <v>-229634000000</v>
      </c>
      <c r="O17" s="9">
        <v>-208978000000</v>
      </c>
      <c r="P17" s="9">
        <v>-257297000000</v>
      </c>
      <c r="Q17" s="9">
        <v>-869150000000</v>
      </c>
      <c r="R17" s="9">
        <v>-209169000000</v>
      </c>
      <c r="S17" s="9">
        <v>-673189000000</v>
      </c>
      <c r="T17" s="9">
        <v>-362871000000</v>
      </c>
      <c r="U17" s="9">
        <v>-649816000000</v>
      </c>
      <c r="V17" s="9">
        <v>-427075000000</v>
      </c>
      <c r="W17" s="9">
        <v>-378353000000</v>
      </c>
      <c r="X17" s="9">
        <v>-279255000000</v>
      </c>
      <c r="Y17" s="9">
        <v>-704546000000</v>
      </c>
      <c r="Z17" s="10">
        <v>0</v>
      </c>
      <c r="AA17" s="9">
        <v>-947319000000</v>
      </c>
      <c r="AB17" s="9">
        <v>-555551000000</v>
      </c>
      <c r="AC17" s="9">
        <v>-915964000000</v>
      </c>
      <c r="AD17" s="9">
        <v>-768055000000</v>
      </c>
      <c r="AE17" s="9">
        <v>-932420000000</v>
      </c>
      <c r="AF17" s="9">
        <v>-846600000000</v>
      </c>
      <c r="AG17" s="9">
        <v>-767792000000</v>
      </c>
      <c r="AH17" s="9">
        <v>-710075000000</v>
      </c>
      <c r="AI17" s="9">
        <v>-973446000000</v>
      </c>
      <c r="AJ17" s="9">
        <v>-875754000000</v>
      </c>
      <c r="AK17" s="9">
        <v>-938012000000</v>
      </c>
      <c r="AL17" s="9">
        <v>-1565611000000</v>
      </c>
      <c r="AM17" s="9">
        <v>-3681973000000</v>
      </c>
      <c r="AN17" s="9">
        <v>-2211218000000</v>
      </c>
      <c r="AO17" s="9">
        <v>-695234000000</v>
      </c>
      <c r="AP17" s="9">
        <v>-777082000000</v>
      </c>
      <c r="AQ17" s="9">
        <v>-1189045000000</v>
      </c>
    </row>
    <row r="18" spans="1:43" x14ac:dyDescent="0.25">
      <c r="A18" s="8" t="s">
        <v>149</v>
      </c>
      <c r="B18" s="9">
        <v>509126000000</v>
      </c>
      <c r="C18" s="9">
        <v>1137807000000</v>
      </c>
      <c r="D18" s="9">
        <v>-1116422000000</v>
      </c>
      <c r="E18" s="6">
        <v>1025970000000</v>
      </c>
      <c r="F18" s="9">
        <v>34649000000</v>
      </c>
      <c r="G18" s="9">
        <v>400157000000</v>
      </c>
      <c r="H18" s="9">
        <v>187795000000</v>
      </c>
      <c r="I18" s="9">
        <v>1326608000000</v>
      </c>
      <c r="J18" s="9">
        <v>664602000000</v>
      </c>
      <c r="K18" s="9">
        <v>644310000000</v>
      </c>
      <c r="L18" s="9">
        <v>-323181000000</v>
      </c>
      <c r="M18" s="9">
        <v>442135000000</v>
      </c>
      <c r="N18" s="9">
        <v>-230273000000</v>
      </c>
      <c r="O18" s="9">
        <v>-942939000000</v>
      </c>
      <c r="P18" s="9">
        <v>1089341000000</v>
      </c>
      <c r="Q18" s="9">
        <v>-3714571000000</v>
      </c>
      <c r="R18" s="9">
        <v>328809000000</v>
      </c>
      <c r="S18" s="9">
        <v>365255000000</v>
      </c>
      <c r="T18" s="9">
        <v>-880594000000</v>
      </c>
      <c r="U18" s="9">
        <v>-3839983000000</v>
      </c>
      <c r="V18" s="9">
        <v>308606000000</v>
      </c>
      <c r="W18" s="9">
        <v>-2109088000000</v>
      </c>
      <c r="X18" s="9">
        <v>-2868722000000</v>
      </c>
      <c r="Y18" s="9">
        <v>-4590926000000</v>
      </c>
      <c r="Z18" s="9">
        <v>909571000000</v>
      </c>
      <c r="AA18" s="9">
        <v>-4841178000000</v>
      </c>
      <c r="AB18" s="9">
        <v>-1905703000000</v>
      </c>
      <c r="AC18" s="9">
        <v>-7220604000000</v>
      </c>
      <c r="AD18" s="9">
        <v>206413000000</v>
      </c>
      <c r="AE18" s="9">
        <v>-637877000000</v>
      </c>
      <c r="AF18" s="9">
        <v>-13756721000000</v>
      </c>
      <c r="AG18" s="9">
        <v>-1058172000000</v>
      </c>
      <c r="AH18" s="9">
        <v>-3363611000000</v>
      </c>
      <c r="AI18" s="9">
        <v>-543738000000</v>
      </c>
      <c r="AJ18" s="9">
        <v>8800756000000</v>
      </c>
      <c r="AK18" s="9">
        <v>-4732775000000</v>
      </c>
      <c r="AL18" s="9">
        <v>1394018000000</v>
      </c>
      <c r="AM18" s="9">
        <v>-3246827000000</v>
      </c>
      <c r="AN18" s="9">
        <v>9748371000000</v>
      </c>
      <c r="AO18" s="9">
        <v>13290382000000</v>
      </c>
      <c r="AP18" s="9">
        <v>489574000000</v>
      </c>
      <c r="AQ18" s="9">
        <v>-6383978000000</v>
      </c>
    </row>
    <row r="19" spans="1:43" x14ac:dyDescent="0.25">
      <c r="A19" s="7" t="s">
        <v>150</v>
      </c>
      <c r="B19" s="6">
        <v>11979132000000</v>
      </c>
      <c r="C19" s="6">
        <v>10863024000000</v>
      </c>
      <c r="D19" s="6">
        <v>8906765000000</v>
      </c>
      <c r="E19" s="6">
        <v>8066752000000</v>
      </c>
      <c r="F19" s="6">
        <v>12547163000000</v>
      </c>
      <c r="G19" s="6">
        <v>5619287000000</v>
      </c>
      <c r="H19" s="6">
        <v>4424553000000</v>
      </c>
      <c r="I19" s="6">
        <v>11217993000000</v>
      </c>
      <c r="J19" s="6">
        <v>205861000000</v>
      </c>
      <c r="K19" s="6">
        <v>89865000000</v>
      </c>
      <c r="L19" s="6">
        <v>8701378000000</v>
      </c>
      <c r="M19" s="6">
        <v>15506385000000</v>
      </c>
      <c r="N19" s="6">
        <v>-14550483000000</v>
      </c>
      <c r="O19" s="6">
        <v>6881149000000</v>
      </c>
      <c r="P19" s="6">
        <v>6056802000000</v>
      </c>
      <c r="Q19" s="6">
        <v>10952611000000</v>
      </c>
      <c r="R19" s="6">
        <v>853917000000</v>
      </c>
      <c r="S19" s="6">
        <v>9371795000000</v>
      </c>
      <c r="T19" s="6">
        <v>29139064000000</v>
      </c>
      <c r="U19" s="6">
        <v>44518568000000</v>
      </c>
      <c r="V19" s="6">
        <v>4643567000000</v>
      </c>
      <c r="W19" s="6">
        <v>3117207000000</v>
      </c>
      <c r="X19" s="6">
        <v>14156404000000</v>
      </c>
      <c r="Y19" s="6">
        <v>27135312000000</v>
      </c>
      <c r="Z19" s="6">
        <v>4077034000000</v>
      </c>
      <c r="AA19" s="6">
        <v>634809000000</v>
      </c>
      <c r="AB19" s="6">
        <v>12048993000000</v>
      </c>
      <c r="AC19" s="6">
        <v>14334368000000</v>
      </c>
      <c r="AD19" s="6">
        <v>39187950000000</v>
      </c>
      <c r="AE19" s="6">
        <v>24196849000000</v>
      </c>
      <c r="AF19" s="6">
        <v>19427737000000</v>
      </c>
      <c r="AG19" s="6">
        <v>89056881000000</v>
      </c>
      <c r="AH19" s="6">
        <v>-1028753000000</v>
      </c>
      <c r="AI19" s="6">
        <v>20074335000000</v>
      </c>
      <c r="AJ19" s="6">
        <v>4198881000000</v>
      </c>
      <c r="AK19" s="6">
        <v>63797533000000</v>
      </c>
      <c r="AL19" s="6">
        <v>8215107000000</v>
      </c>
      <c r="AM19" s="6">
        <v>67533363000000</v>
      </c>
      <c r="AN19" s="6">
        <v>-9320221000000</v>
      </c>
      <c r="AO19" s="6">
        <v>139633588000000</v>
      </c>
      <c r="AP19" s="6">
        <v>47901349000000</v>
      </c>
      <c r="AQ19" s="6">
        <v>45069060000000</v>
      </c>
    </row>
    <row r="20" spans="1:43" x14ac:dyDescent="0.25">
      <c r="A20" s="8" t="s">
        <v>151</v>
      </c>
      <c r="B20" s="9">
        <v>-2226851000000</v>
      </c>
      <c r="C20" s="9">
        <v>-39707000000</v>
      </c>
      <c r="D20" s="9">
        <v>-29167000000</v>
      </c>
      <c r="E20" s="6">
        <v>-14961000000</v>
      </c>
      <c r="F20" s="9">
        <v>1873141000000</v>
      </c>
      <c r="G20" s="9">
        <v>-1897619000000</v>
      </c>
      <c r="H20" s="10">
        <v>-687000000</v>
      </c>
      <c r="I20" s="9">
        <v>3783000000</v>
      </c>
      <c r="J20" s="9">
        <v>-28765000000</v>
      </c>
      <c r="K20" s="9">
        <v>3691000000</v>
      </c>
      <c r="L20" s="9">
        <v>2020766000000</v>
      </c>
      <c r="M20" s="9">
        <v>5759938000000</v>
      </c>
      <c r="N20" s="9">
        <v>-5731376000000</v>
      </c>
      <c r="O20" s="9">
        <v>-13091000000</v>
      </c>
      <c r="P20" s="9">
        <v>37647000000</v>
      </c>
      <c r="Q20" s="9">
        <v>-1995912000000</v>
      </c>
      <c r="R20" s="9">
        <v>393840000000</v>
      </c>
      <c r="S20" s="9">
        <v>-421224000000</v>
      </c>
      <c r="T20" s="9">
        <v>-22110000000</v>
      </c>
      <c r="U20" s="9">
        <v>-16886000000</v>
      </c>
      <c r="V20" s="9">
        <v>-12761000000</v>
      </c>
      <c r="W20" s="9">
        <v>-12701000000</v>
      </c>
      <c r="X20" s="9">
        <v>-12435000000</v>
      </c>
      <c r="Y20" s="9">
        <v>-12217000000</v>
      </c>
      <c r="Z20" s="9">
        <v>-11041000000</v>
      </c>
      <c r="AA20" s="9">
        <v>-12201000000</v>
      </c>
      <c r="AB20" s="9">
        <v>-10850000000</v>
      </c>
      <c r="AC20" s="9">
        <v>10762694000000</v>
      </c>
      <c r="AD20" s="9">
        <v>-10785179000000</v>
      </c>
      <c r="AE20" s="9">
        <v>-5955000000</v>
      </c>
      <c r="AF20" s="10">
        <v>-295000000</v>
      </c>
      <c r="AG20" s="9">
        <v>-3239000000</v>
      </c>
      <c r="AH20" s="9">
        <v>-6431000000</v>
      </c>
      <c r="AI20" s="10">
        <v>819000000</v>
      </c>
      <c r="AJ20" s="9">
        <v>-3058000000</v>
      </c>
      <c r="AK20" s="9">
        <v>-2486000000</v>
      </c>
      <c r="AL20" s="9">
        <v>12422000000</v>
      </c>
      <c r="AM20" s="9">
        <v>-17904000000</v>
      </c>
      <c r="AN20" s="9">
        <v>5178000000</v>
      </c>
      <c r="AO20" s="9">
        <v>11416756000000</v>
      </c>
      <c r="AP20" s="9">
        <v>-11416944000000</v>
      </c>
      <c r="AQ20" s="9">
        <v>-1940000000</v>
      </c>
    </row>
    <row r="21" spans="1:43" x14ac:dyDescent="0.25">
      <c r="A21" s="8" t="s">
        <v>152</v>
      </c>
      <c r="B21" s="9">
        <v>1500389000000</v>
      </c>
      <c r="C21" s="9">
        <v>3645691000000</v>
      </c>
      <c r="D21" s="9">
        <v>2419831000000</v>
      </c>
      <c r="E21" s="6">
        <v>5523823000000</v>
      </c>
      <c r="F21" s="9">
        <v>382629000000</v>
      </c>
      <c r="G21" s="9">
        <v>5039783000000</v>
      </c>
      <c r="H21" s="9">
        <v>2461233000000</v>
      </c>
      <c r="I21" s="9">
        <v>9649068000000</v>
      </c>
      <c r="J21" s="9">
        <v>3793478000000</v>
      </c>
      <c r="K21" s="9">
        <v>-14638784000000</v>
      </c>
      <c r="L21" s="9">
        <v>3284656000000</v>
      </c>
      <c r="M21" s="9">
        <v>11032533000000</v>
      </c>
      <c r="N21" s="9">
        <v>-6456160000000</v>
      </c>
      <c r="O21" s="9">
        <v>-311218000000</v>
      </c>
      <c r="P21" s="9">
        <v>9021829000000</v>
      </c>
      <c r="Q21" s="9">
        <v>3033987000000</v>
      </c>
      <c r="R21" s="9">
        <v>-6548661000000</v>
      </c>
      <c r="S21" s="9">
        <v>-10886156000000</v>
      </c>
      <c r="T21" s="9">
        <v>9410906000000</v>
      </c>
      <c r="U21" s="9">
        <v>33405967000000</v>
      </c>
      <c r="V21" s="9">
        <v>-5306507000000</v>
      </c>
      <c r="W21" s="9">
        <v>-9610280000000</v>
      </c>
      <c r="X21" s="9">
        <v>21093094000000</v>
      </c>
      <c r="Y21" s="9">
        <v>25890702000000</v>
      </c>
      <c r="Z21" s="9">
        <v>-13768816000000</v>
      </c>
      <c r="AA21" s="9">
        <v>-7286784000000</v>
      </c>
      <c r="AB21" s="9">
        <v>13450015000000</v>
      </c>
      <c r="AC21" s="9">
        <v>-6983797000000</v>
      </c>
      <c r="AD21" s="9">
        <v>4674389000000</v>
      </c>
      <c r="AE21" s="9">
        <v>-34561247000000</v>
      </c>
      <c r="AF21" s="9">
        <v>-11228643000000</v>
      </c>
      <c r="AG21" s="9">
        <v>60549279000000</v>
      </c>
      <c r="AH21" s="9">
        <v>-5077968000000</v>
      </c>
      <c r="AI21" s="9">
        <v>11678404000000</v>
      </c>
      <c r="AJ21" s="9">
        <v>-26384487000000</v>
      </c>
      <c r="AK21" s="9">
        <v>7157652000000</v>
      </c>
      <c r="AL21" s="9">
        <v>-25782141000000</v>
      </c>
      <c r="AM21" s="9">
        <v>25590900000000</v>
      </c>
      <c r="AN21" s="9">
        <v>31721723000000</v>
      </c>
      <c r="AO21" s="9">
        <v>39085104000000</v>
      </c>
      <c r="AP21" s="9">
        <v>-16168466000000</v>
      </c>
      <c r="AQ21" s="9">
        <v>-5949306000000</v>
      </c>
    </row>
    <row r="22" spans="1:43" x14ac:dyDescent="0.25">
      <c r="A22" s="8" t="s">
        <v>153</v>
      </c>
      <c r="B22" s="9">
        <v>11542887000000</v>
      </c>
      <c r="C22" s="9">
        <v>7081751000000</v>
      </c>
      <c r="D22" s="9">
        <v>4648352000000</v>
      </c>
      <c r="E22" s="6">
        <v>5484062000000</v>
      </c>
      <c r="F22" s="9">
        <v>9576752000000</v>
      </c>
      <c r="G22" s="9">
        <v>2834229000000</v>
      </c>
      <c r="H22" s="9">
        <v>2405568000000</v>
      </c>
      <c r="I22" s="9">
        <v>2421149000000</v>
      </c>
      <c r="J22" s="9">
        <v>-3235370000000</v>
      </c>
      <c r="K22" s="9">
        <v>9474865000000</v>
      </c>
      <c r="L22" s="9">
        <v>3189336000000</v>
      </c>
      <c r="M22" s="9">
        <v>-1906206000000</v>
      </c>
      <c r="N22" s="9">
        <v>-1365910000000</v>
      </c>
      <c r="O22" s="9">
        <v>3363396000000</v>
      </c>
      <c r="P22" s="9">
        <v>-5139704000000</v>
      </c>
      <c r="Q22" s="9">
        <v>1100700000000</v>
      </c>
      <c r="R22" s="9">
        <v>6803922000000</v>
      </c>
      <c r="S22" s="9">
        <v>16982539000000</v>
      </c>
      <c r="T22" s="9">
        <v>18638420000000</v>
      </c>
      <c r="U22" s="9">
        <v>6176813000000</v>
      </c>
      <c r="V22" s="9">
        <v>10367248000000</v>
      </c>
      <c r="W22" s="9">
        <v>13546419000000</v>
      </c>
      <c r="X22" s="9">
        <v>-4104469000000</v>
      </c>
      <c r="Y22" s="9">
        <v>-11146350000000</v>
      </c>
      <c r="Z22" s="9">
        <v>18206910000000</v>
      </c>
      <c r="AA22" s="9">
        <v>11030068000000</v>
      </c>
      <c r="AB22" s="9">
        <v>-4739327000000</v>
      </c>
      <c r="AC22" s="9">
        <v>8016406000000</v>
      </c>
      <c r="AD22" s="9">
        <v>34005769000000</v>
      </c>
      <c r="AE22" s="9">
        <v>59842194000000</v>
      </c>
      <c r="AF22" s="9">
        <v>32067845000000</v>
      </c>
      <c r="AG22" s="9">
        <v>29064906000000</v>
      </c>
      <c r="AH22" s="9">
        <v>8011196000000</v>
      </c>
      <c r="AI22" s="9">
        <v>7784259000000</v>
      </c>
      <c r="AJ22" s="9">
        <v>10445323000000</v>
      </c>
      <c r="AK22" s="9">
        <v>40486499000000</v>
      </c>
      <c r="AL22" s="9">
        <v>27816043000000</v>
      </c>
      <c r="AM22" s="9">
        <v>13379021000000</v>
      </c>
      <c r="AN22" s="9">
        <v>9162749000000</v>
      </c>
      <c r="AO22" s="9">
        <v>72851304000000</v>
      </c>
      <c r="AP22" s="9">
        <v>60834661000000</v>
      </c>
      <c r="AQ22" s="9">
        <v>52509758000000</v>
      </c>
    </row>
    <row r="23" spans="1:43" x14ac:dyDescent="0.25">
      <c r="A23" s="8" t="s">
        <v>154</v>
      </c>
      <c r="B23" s="9">
        <v>1250000000000</v>
      </c>
      <c r="C23" s="9">
        <v>-102000000000</v>
      </c>
      <c r="D23" s="9">
        <v>2091000000000</v>
      </c>
      <c r="E23" s="6">
        <v>-3168986000000</v>
      </c>
      <c r="F23" s="9">
        <v>726987000000</v>
      </c>
      <c r="G23" s="9">
        <v>-401001000000</v>
      </c>
      <c r="H23" s="9">
        <v>-771000000000</v>
      </c>
      <c r="I23" s="9">
        <v>-789000000000</v>
      </c>
      <c r="J23" s="9">
        <v>-347000000000</v>
      </c>
      <c r="K23" s="9">
        <v>4964637000000</v>
      </c>
      <c r="L23" s="9">
        <v>339363000000</v>
      </c>
      <c r="M23" s="9">
        <v>177000000000</v>
      </c>
      <c r="N23" s="9">
        <v>-797319000000</v>
      </c>
      <c r="O23" s="9">
        <v>3616319000000</v>
      </c>
      <c r="P23" s="9">
        <v>2281400000000</v>
      </c>
      <c r="Q23" s="9">
        <v>4985663000000</v>
      </c>
      <c r="R23" s="9">
        <v>161000000000</v>
      </c>
      <c r="S23" s="9">
        <v>3545000000000</v>
      </c>
      <c r="T23" s="9">
        <v>1119000000000</v>
      </c>
      <c r="U23" s="9">
        <v>4494194000000</v>
      </c>
      <c r="V23" s="9">
        <v>-54123000000</v>
      </c>
      <c r="W23" s="9">
        <v>-161059000000</v>
      </c>
      <c r="X23" s="9">
        <v>-3121478000000</v>
      </c>
      <c r="Y23" s="9">
        <v>11760515000000</v>
      </c>
      <c r="Z23" s="9">
        <v>-656743000000</v>
      </c>
      <c r="AA23" s="9">
        <v>-2994977000000</v>
      </c>
      <c r="AB23" s="9">
        <v>3661370000000</v>
      </c>
      <c r="AC23" s="9">
        <v>1395877000000</v>
      </c>
      <c r="AD23" s="9">
        <v>12076686000000</v>
      </c>
      <c r="AE23" s="9">
        <v>-1357902000000</v>
      </c>
      <c r="AF23" s="9">
        <v>-2747722000000</v>
      </c>
      <c r="AG23" s="9">
        <v>-1194554000000</v>
      </c>
      <c r="AH23" s="9">
        <v>-4636270000000</v>
      </c>
      <c r="AI23" s="9">
        <v>-1709222000000</v>
      </c>
      <c r="AJ23" s="9">
        <v>22774511000000</v>
      </c>
      <c r="AK23" s="9">
        <v>13982578000000</v>
      </c>
      <c r="AL23" s="9">
        <v>7000864000000</v>
      </c>
      <c r="AM23" s="9">
        <v>-4664432000000</v>
      </c>
      <c r="AN23" s="9">
        <v>-14423903000000</v>
      </c>
      <c r="AO23" s="9">
        <v>14118632000000</v>
      </c>
      <c r="AP23" s="9">
        <v>14808994000000</v>
      </c>
      <c r="AQ23" s="9">
        <v>4110138000000</v>
      </c>
    </row>
    <row r="24" spans="1:43" x14ac:dyDescent="0.25">
      <c r="A24" s="8" t="s">
        <v>155</v>
      </c>
      <c r="B24" s="9">
        <v>-4226000000</v>
      </c>
      <c r="C24" s="9">
        <v>-6490000000</v>
      </c>
      <c r="D24" s="9">
        <v>5563000000</v>
      </c>
      <c r="E24" s="6">
        <v>26022000000</v>
      </c>
      <c r="F24" s="9">
        <v>24594000000</v>
      </c>
      <c r="G24" s="9">
        <v>39241000000</v>
      </c>
      <c r="H24" s="9">
        <v>20774000000</v>
      </c>
      <c r="I24" s="10">
        <v>-300000000</v>
      </c>
      <c r="J24" s="9">
        <v>19567000000</v>
      </c>
      <c r="K24" s="9">
        <v>61407000000</v>
      </c>
      <c r="L24" s="9">
        <v>54804000000</v>
      </c>
      <c r="M24" s="9">
        <v>-17853000000</v>
      </c>
      <c r="N24" s="9">
        <v>1223000000</v>
      </c>
      <c r="O24" s="9">
        <v>12788000000</v>
      </c>
      <c r="P24" s="9">
        <v>-11565000000</v>
      </c>
      <c r="Q24" s="9">
        <v>-4620000000</v>
      </c>
      <c r="R24" s="9">
        <v>44629000000</v>
      </c>
      <c r="S24" s="9">
        <v>-39188000000</v>
      </c>
      <c r="T24" s="10">
        <v>-497000000</v>
      </c>
      <c r="U24" s="9">
        <v>-11273000000</v>
      </c>
      <c r="V24" s="9">
        <v>-7300000000</v>
      </c>
      <c r="W24" s="9">
        <v>-7295000000</v>
      </c>
      <c r="X24" s="9">
        <v>-101338000000</v>
      </c>
      <c r="Y24" s="9">
        <v>15634000000</v>
      </c>
      <c r="Z24" s="9">
        <v>-77269000000</v>
      </c>
      <c r="AA24" s="9">
        <v>47259000000</v>
      </c>
      <c r="AB24" s="15">
        <v>-973000000</v>
      </c>
      <c r="AC24" s="9">
        <v>-45726000000</v>
      </c>
      <c r="AD24" s="9">
        <v>-68587000000</v>
      </c>
      <c r="AE24" s="9">
        <v>9365000000</v>
      </c>
      <c r="AF24" s="9">
        <v>10357000000</v>
      </c>
      <c r="AG24" s="15">
        <v>-161000000</v>
      </c>
      <c r="AH24" s="9">
        <v>-14908000000</v>
      </c>
      <c r="AI24" s="9">
        <v>60257000000</v>
      </c>
      <c r="AJ24" s="9">
        <v>-157830000000</v>
      </c>
      <c r="AK24" s="9">
        <v>89795000000</v>
      </c>
      <c r="AL24" s="9">
        <v>-58495000000</v>
      </c>
      <c r="AM24" s="9">
        <v>57254000000</v>
      </c>
      <c r="AN24" s="9">
        <v>-52625000000</v>
      </c>
      <c r="AO24" s="9">
        <v>-12625000000</v>
      </c>
      <c r="AP24" s="9">
        <v>-77348000000</v>
      </c>
      <c r="AQ24" s="9">
        <v>2584000000</v>
      </c>
    </row>
    <row r="25" spans="1:43" x14ac:dyDescent="0.25">
      <c r="A25" s="8" t="s">
        <v>156</v>
      </c>
      <c r="B25" s="10">
        <v>0</v>
      </c>
      <c r="C25" s="10">
        <v>0</v>
      </c>
      <c r="D25" s="10">
        <v>0</v>
      </c>
      <c r="E25" s="6">
        <v>9326000000</v>
      </c>
      <c r="F25" s="10">
        <v>0</v>
      </c>
      <c r="G25" s="10">
        <v>0</v>
      </c>
      <c r="H25" s="10">
        <v>0</v>
      </c>
      <c r="I25" s="10">
        <v>0</v>
      </c>
      <c r="J25" s="10">
        <v>0</v>
      </c>
      <c r="K25" s="9">
        <v>-70098000000</v>
      </c>
      <c r="L25" s="10">
        <v>0</v>
      </c>
      <c r="M25" s="10">
        <v>0</v>
      </c>
      <c r="N25" s="9">
        <v>2114000000</v>
      </c>
      <c r="O25" s="9">
        <v>27985000000</v>
      </c>
      <c r="P25" s="9">
        <v>-30099000000</v>
      </c>
      <c r="Q25" s="9">
        <v>14262000000</v>
      </c>
      <c r="R25" s="9">
        <v>8807000000</v>
      </c>
      <c r="S25" s="9">
        <v>29560000000</v>
      </c>
      <c r="T25" s="9">
        <v>-21557000000</v>
      </c>
      <c r="U25" s="9">
        <v>184109000000</v>
      </c>
      <c r="V25" s="9">
        <v>-215182000000</v>
      </c>
      <c r="W25" s="9">
        <v>-801866000000</v>
      </c>
      <c r="X25" s="9">
        <v>801866000000</v>
      </c>
      <c r="Y25" s="9">
        <v>15550000000</v>
      </c>
      <c r="Z25" s="9">
        <v>29457000000</v>
      </c>
      <c r="AA25" s="9">
        <v>-45007000000</v>
      </c>
      <c r="AB25" s="9">
        <v>179101000000</v>
      </c>
      <c r="AC25" s="9">
        <v>47379000000</v>
      </c>
      <c r="AD25" s="9">
        <v>-149564000000</v>
      </c>
      <c r="AE25" s="9">
        <v>-76916000000</v>
      </c>
      <c r="AF25" s="9">
        <v>272222000000</v>
      </c>
      <c r="AG25" s="9">
        <v>-272222000000</v>
      </c>
      <c r="AH25" s="10">
        <v>0</v>
      </c>
      <c r="AI25" s="10">
        <v>0</v>
      </c>
      <c r="AJ25" s="9">
        <v>113837000000</v>
      </c>
      <c r="AK25" s="9">
        <v>-95388000000</v>
      </c>
      <c r="AL25" s="9">
        <v>261090000000</v>
      </c>
      <c r="AM25" s="9">
        <v>-279539000000</v>
      </c>
      <c r="AN25" s="10">
        <v>0</v>
      </c>
      <c r="AO25" s="10">
        <v>427000000</v>
      </c>
      <c r="AP25" s="10">
        <v>-427000000</v>
      </c>
      <c r="AQ25" s="10">
        <v>0</v>
      </c>
    </row>
    <row r="26" spans="1:43" x14ac:dyDescent="0.25">
      <c r="A26" s="8" t="s">
        <v>157</v>
      </c>
      <c r="B26" s="9">
        <v>-82533000000</v>
      </c>
      <c r="C26" s="9">
        <v>283779000000</v>
      </c>
      <c r="D26" s="9">
        <v>-228814000000</v>
      </c>
      <c r="E26" s="6">
        <v>207466000000</v>
      </c>
      <c r="F26" s="9">
        <v>-34282000000</v>
      </c>
      <c r="G26" s="9">
        <v>4804000000</v>
      </c>
      <c r="H26" s="9">
        <v>309260000000</v>
      </c>
      <c r="I26" s="9">
        <v>-66510000000</v>
      </c>
      <c r="J26" s="9">
        <v>5315000000</v>
      </c>
      <c r="K26" s="9">
        <v>294213000000</v>
      </c>
      <c r="L26" s="9">
        <v>-186666000000</v>
      </c>
      <c r="M26" s="9">
        <v>462836000000</v>
      </c>
      <c r="N26" s="9">
        <v>-201291000000</v>
      </c>
      <c r="O26" s="9">
        <v>184970000000</v>
      </c>
      <c r="P26" s="9">
        <v>-102018000000</v>
      </c>
      <c r="Q26" s="9">
        <v>3819511000000</v>
      </c>
      <c r="R26" s="9">
        <v>-7392000000</v>
      </c>
      <c r="S26" s="9">
        <v>161264000000</v>
      </c>
      <c r="T26" s="9">
        <v>14902000000</v>
      </c>
      <c r="U26" s="9">
        <v>285644000000</v>
      </c>
      <c r="V26" s="9">
        <v>-125194000000</v>
      </c>
      <c r="W26" s="9">
        <v>164509000000</v>
      </c>
      <c r="X26" s="9">
        <v>-398836000000</v>
      </c>
      <c r="Y26" s="9">
        <v>615778000000</v>
      </c>
      <c r="Z26" s="9">
        <v>357958000000</v>
      </c>
      <c r="AA26" s="9">
        <v>-101549000000</v>
      </c>
      <c r="AB26" s="9">
        <v>-490053000000</v>
      </c>
      <c r="AC26" s="9">
        <v>1146084000000</v>
      </c>
      <c r="AD26" s="9">
        <v>-560794000000</v>
      </c>
      <c r="AE26" s="9">
        <v>349691000000</v>
      </c>
      <c r="AF26" s="9">
        <v>1061583000000</v>
      </c>
      <c r="AG26" s="9">
        <v>928426000000</v>
      </c>
      <c r="AH26" s="9">
        <v>696253000000</v>
      </c>
      <c r="AI26" s="9">
        <v>2260686000000</v>
      </c>
      <c r="AJ26" s="9">
        <v>-2587695000000</v>
      </c>
      <c r="AK26" s="9">
        <v>2193829000000</v>
      </c>
      <c r="AL26" s="9">
        <v>-1021404000000</v>
      </c>
      <c r="AM26" s="9">
        <v>33472443000000</v>
      </c>
      <c r="AN26" s="9">
        <v>-35681403000000</v>
      </c>
      <c r="AO26" s="9">
        <v>2174860000000</v>
      </c>
      <c r="AP26" s="9">
        <v>-69304000000</v>
      </c>
      <c r="AQ26" s="9">
        <v>-5602015000000</v>
      </c>
    </row>
    <row r="27" spans="1:43" x14ac:dyDescent="0.25">
      <c r="A27" s="8" t="s">
        <v>158</v>
      </c>
      <c r="B27" s="10">
        <v>-534000000</v>
      </c>
      <c r="C27" s="10">
        <v>0</v>
      </c>
      <c r="D27" s="10">
        <v>0</v>
      </c>
      <c r="E27" s="6">
        <v>0</v>
      </c>
      <c r="F27" s="9">
        <v>-2658000000</v>
      </c>
      <c r="G27" s="10">
        <v>-150000000</v>
      </c>
      <c r="H27" s="10">
        <v>-595000000</v>
      </c>
      <c r="I27" s="10">
        <v>-197000000</v>
      </c>
      <c r="J27" s="9">
        <v>-1364000000</v>
      </c>
      <c r="K27" s="10">
        <v>-66000000</v>
      </c>
      <c r="L27" s="10">
        <v>-881000000</v>
      </c>
      <c r="M27" s="9">
        <v>-1863000000</v>
      </c>
      <c r="N27" s="9">
        <v>-1764000000</v>
      </c>
      <c r="O27" s="10">
        <v>0</v>
      </c>
      <c r="P27" s="10">
        <v>-688000000</v>
      </c>
      <c r="Q27" s="10">
        <v>-980000000</v>
      </c>
      <c r="R27" s="9">
        <v>-2228000000</v>
      </c>
      <c r="S27" s="10">
        <v>0</v>
      </c>
      <c r="T27" s="10">
        <v>0</v>
      </c>
      <c r="U27" s="10">
        <v>0</v>
      </c>
      <c r="V27" s="9">
        <v>-2614000000</v>
      </c>
      <c r="W27" s="10">
        <v>-520000000</v>
      </c>
      <c r="X27" s="10">
        <v>0</v>
      </c>
      <c r="Y27" s="9">
        <v>-4300000000</v>
      </c>
      <c r="Z27" s="9">
        <v>-3422000000</v>
      </c>
      <c r="AA27" s="9">
        <v>-2000000000</v>
      </c>
      <c r="AB27" s="10">
        <v>-290000000</v>
      </c>
      <c r="AC27" s="9">
        <v>-4549000000</v>
      </c>
      <c r="AD27" s="9">
        <v>-4770000000</v>
      </c>
      <c r="AE27" s="9">
        <v>-2381000000</v>
      </c>
      <c r="AF27" s="9">
        <v>-7610000000</v>
      </c>
      <c r="AG27" s="9">
        <v>-15554000000</v>
      </c>
      <c r="AH27" s="10">
        <v>-625000000</v>
      </c>
      <c r="AI27" s="10">
        <v>-868000000</v>
      </c>
      <c r="AJ27" s="9">
        <v>-1720000000</v>
      </c>
      <c r="AK27" s="9">
        <v>-14946000000</v>
      </c>
      <c r="AL27" s="9">
        <v>-13272000000</v>
      </c>
      <c r="AM27" s="9">
        <v>-4380000000</v>
      </c>
      <c r="AN27" s="9">
        <v>-51940000000</v>
      </c>
      <c r="AO27" s="10">
        <v>-870000000</v>
      </c>
      <c r="AP27" s="9">
        <v>-9817000000</v>
      </c>
      <c r="AQ27" s="10">
        <v>-159000000</v>
      </c>
    </row>
    <row r="28" spans="1:43" x14ac:dyDescent="0.25">
      <c r="A28" s="3" t="s">
        <v>159</v>
      </c>
      <c r="B28" s="6">
        <v>-31020000000</v>
      </c>
      <c r="C28" s="6">
        <v>11216000000</v>
      </c>
      <c r="D28" s="6">
        <v>145718000000</v>
      </c>
      <c r="E28" s="6">
        <v>-277738000000</v>
      </c>
      <c r="F28" s="6">
        <v>60748000000</v>
      </c>
      <c r="G28" s="6">
        <v>-7796000000</v>
      </c>
      <c r="H28" s="6">
        <v>14312000000</v>
      </c>
      <c r="I28" s="6">
        <v>-92326000000</v>
      </c>
      <c r="J28" s="6">
        <v>36719000000</v>
      </c>
      <c r="K28" s="6">
        <v>-47450000000</v>
      </c>
      <c r="L28" s="4">
        <v>-258000000</v>
      </c>
      <c r="M28" s="6">
        <v>109448000000</v>
      </c>
      <c r="N28" s="6">
        <v>-42403000000</v>
      </c>
      <c r="O28" s="6">
        <v>74400000000</v>
      </c>
      <c r="P28" s="6">
        <v>-16505000000</v>
      </c>
      <c r="Q28" s="6">
        <v>-37227000000</v>
      </c>
      <c r="R28" s="6">
        <v>-97381000000</v>
      </c>
      <c r="S28" s="4">
        <v>384000000</v>
      </c>
      <c r="T28" s="6">
        <v>-115878000000</v>
      </c>
      <c r="U28" s="6">
        <v>-42011000000</v>
      </c>
      <c r="V28" s="6">
        <v>-155115000000</v>
      </c>
      <c r="W28" s="6">
        <v>-8225000000</v>
      </c>
      <c r="X28" s="6">
        <v>-35112000000</v>
      </c>
      <c r="Y28" s="6">
        <v>-79379000000</v>
      </c>
      <c r="Z28" s="6">
        <v>30475000000</v>
      </c>
      <c r="AA28" s="6">
        <v>-3476000000</v>
      </c>
      <c r="AB28" s="6">
        <v>-52716000000</v>
      </c>
      <c r="AC28" s="6">
        <v>-52268000000</v>
      </c>
      <c r="AD28" s="6">
        <v>-19523000000</v>
      </c>
      <c r="AE28" s="6">
        <v>-53971000000</v>
      </c>
      <c r="AF28" s="6">
        <v>-52426000000</v>
      </c>
      <c r="AG28" s="6">
        <v>-137925000000</v>
      </c>
      <c r="AH28" s="6">
        <v>-112067000000</v>
      </c>
      <c r="AI28" s="6">
        <v>-737702000000</v>
      </c>
      <c r="AJ28" s="6">
        <v>-178593000000</v>
      </c>
      <c r="AK28" s="6">
        <v>-151722000000</v>
      </c>
      <c r="AL28" s="6">
        <v>-28813000000</v>
      </c>
      <c r="AM28" s="6">
        <v>139892000000</v>
      </c>
      <c r="AN28" s="6">
        <v>-61062000000</v>
      </c>
      <c r="AO28" s="6">
        <v>-172029000000</v>
      </c>
      <c r="AP28" s="6">
        <v>-64260000000</v>
      </c>
      <c r="AQ28" s="6">
        <v>-7778599000000</v>
      </c>
    </row>
    <row r="29" spans="1:43" x14ac:dyDescent="0.25">
      <c r="A29" s="5" t="s">
        <v>160</v>
      </c>
      <c r="B29" s="4">
        <v>0</v>
      </c>
      <c r="C29" s="4">
        <v>0</v>
      </c>
      <c r="D29" s="4">
        <v>0</v>
      </c>
      <c r="E29" s="6">
        <v>0</v>
      </c>
      <c r="F29" s="4">
        <v>0</v>
      </c>
      <c r="G29" s="4">
        <v>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4">
        <v>0</v>
      </c>
      <c r="W29" s="4">
        <v>0</v>
      </c>
      <c r="X29" s="4">
        <v>0</v>
      </c>
      <c r="Y29" s="4">
        <v>0</v>
      </c>
      <c r="Z29" s="4">
        <v>0</v>
      </c>
      <c r="AA29" s="4">
        <v>0</v>
      </c>
      <c r="AB29" s="4">
        <v>0</v>
      </c>
      <c r="AC29" s="4">
        <v>0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</row>
    <row r="30" spans="1:43" x14ac:dyDescent="0.25">
      <c r="A30" s="5" t="s">
        <v>161</v>
      </c>
      <c r="B30" s="6">
        <v>-14212000000</v>
      </c>
      <c r="C30" s="6">
        <v>-4653000000</v>
      </c>
      <c r="D30" s="6">
        <v>-41290000000</v>
      </c>
      <c r="E30" s="6">
        <v>-212053000000</v>
      </c>
      <c r="F30" s="6">
        <v>-13023000000</v>
      </c>
      <c r="G30" s="6">
        <v>-5450000000</v>
      </c>
      <c r="H30" s="6">
        <v>-15310000000</v>
      </c>
      <c r="I30" s="6">
        <v>-247843000000</v>
      </c>
      <c r="J30" s="6">
        <v>-20317000000</v>
      </c>
      <c r="K30" s="6">
        <v>-43695000000</v>
      </c>
      <c r="L30" s="6">
        <v>-66623000000</v>
      </c>
      <c r="M30" s="6">
        <v>46135000000</v>
      </c>
      <c r="N30" s="6">
        <v>-42403000000</v>
      </c>
      <c r="O30" s="6">
        <v>-45548000000</v>
      </c>
      <c r="P30" s="6">
        <v>-25550000000</v>
      </c>
      <c r="Q30" s="6">
        <v>-69694000000</v>
      </c>
      <c r="R30" s="6">
        <v>-97381000000</v>
      </c>
      <c r="S30" s="4">
        <v>52000000</v>
      </c>
      <c r="T30" s="6">
        <v>-127843000000</v>
      </c>
      <c r="U30" s="6">
        <v>-57593000000</v>
      </c>
      <c r="V30" s="6">
        <v>-155122000000</v>
      </c>
      <c r="W30" s="6">
        <v>-27006000000</v>
      </c>
      <c r="X30" s="6">
        <v>-50559000000</v>
      </c>
      <c r="Y30" s="6">
        <v>-121213000000</v>
      </c>
      <c r="Z30" s="6">
        <v>-6194000000</v>
      </c>
      <c r="AA30" s="6">
        <v>-8048000000</v>
      </c>
      <c r="AB30" s="6">
        <v>-52764000000</v>
      </c>
      <c r="AC30" s="6">
        <v>-54995000000</v>
      </c>
      <c r="AD30" s="6">
        <v>-25028000000</v>
      </c>
      <c r="AE30" s="6">
        <v>-54250000000</v>
      </c>
      <c r="AF30" s="6">
        <v>-56655000000</v>
      </c>
      <c r="AG30" s="6">
        <v>-137990000000</v>
      </c>
      <c r="AH30" s="6">
        <v>-112206000000</v>
      </c>
      <c r="AI30" s="6">
        <v>-95318000000</v>
      </c>
      <c r="AJ30" s="6">
        <v>-178629000000</v>
      </c>
      <c r="AK30" s="6">
        <v>-154995000000</v>
      </c>
      <c r="AL30" s="6">
        <v>-41402000000</v>
      </c>
      <c r="AM30" s="6">
        <v>-70019000000</v>
      </c>
      <c r="AN30" s="6">
        <v>-63234000000</v>
      </c>
      <c r="AO30" s="6">
        <v>-175683000000</v>
      </c>
      <c r="AP30" s="6">
        <v>-68654000000</v>
      </c>
      <c r="AQ30" s="6">
        <v>-44818000000</v>
      </c>
    </row>
    <row r="31" spans="1:43" x14ac:dyDescent="0.25">
      <c r="A31" s="5" t="s">
        <v>162</v>
      </c>
      <c r="B31" s="6">
        <v>20213000000</v>
      </c>
      <c r="C31" s="6">
        <v>-10107000000</v>
      </c>
      <c r="D31" s="6">
        <v>12302000000</v>
      </c>
      <c r="E31" s="6">
        <v>6726000000</v>
      </c>
      <c r="F31" s="6">
        <v>15531000000</v>
      </c>
      <c r="G31" s="6">
        <v>-13905000000</v>
      </c>
      <c r="H31" s="14">
        <v>517000000</v>
      </c>
      <c r="I31" s="6">
        <v>11936000000</v>
      </c>
      <c r="J31" s="6">
        <v>31875000000</v>
      </c>
      <c r="K31" s="6">
        <v>-30672000000</v>
      </c>
      <c r="L31" s="6">
        <v>12747000000</v>
      </c>
      <c r="M31" s="6">
        <v>1053000000</v>
      </c>
      <c r="N31" s="4">
        <v>0</v>
      </c>
      <c r="O31" s="6">
        <v>98188000000</v>
      </c>
      <c r="P31" s="4">
        <v>323000000</v>
      </c>
      <c r="Q31" s="6">
        <v>33501000000</v>
      </c>
      <c r="R31" s="14">
        <v>0</v>
      </c>
      <c r="S31" s="4">
        <v>72000000</v>
      </c>
      <c r="T31" s="4">
        <v>432000000</v>
      </c>
      <c r="U31" s="4">
        <v>112000000</v>
      </c>
      <c r="V31" s="4">
        <v>7000000</v>
      </c>
      <c r="W31" s="14">
        <v>85000000</v>
      </c>
      <c r="X31" s="4">
        <v>45000000</v>
      </c>
      <c r="Y31" s="4">
        <v>131000000</v>
      </c>
      <c r="Z31" s="6">
        <v>18634000000</v>
      </c>
      <c r="AA31" s="4">
        <v>38000000</v>
      </c>
      <c r="AB31" s="14">
        <v>48000000</v>
      </c>
      <c r="AC31" s="6">
        <v>2727000000</v>
      </c>
      <c r="AD31" s="4">
        <v>281000000</v>
      </c>
      <c r="AE31" s="4">
        <v>279000000</v>
      </c>
      <c r="AF31" s="4">
        <v>128000000</v>
      </c>
      <c r="AG31" s="14">
        <v>65000000</v>
      </c>
      <c r="AH31" s="4">
        <v>139000000</v>
      </c>
      <c r="AI31" s="4">
        <v>880000000</v>
      </c>
      <c r="AJ31" s="4">
        <v>36000000</v>
      </c>
      <c r="AK31" s="4">
        <v>709000000</v>
      </c>
      <c r="AL31" s="14">
        <v>709000000</v>
      </c>
      <c r="AM31" s="6">
        <v>205015000000</v>
      </c>
      <c r="AN31" s="6">
        <v>2172000000</v>
      </c>
      <c r="AO31" s="4">
        <v>29000000</v>
      </c>
      <c r="AP31" s="4">
        <v>65000000</v>
      </c>
      <c r="AQ31" s="4">
        <v>511000000</v>
      </c>
    </row>
    <row r="32" spans="1:43" x14ac:dyDescent="0.25">
      <c r="A32" s="5" t="s">
        <v>163</v>
      </c>
      <c r="B32" s="6">
        <v>-21176000000</v>
      </c>
      <c r="C32" s="6">
        <v>21176000000</v>
      </c>
      <c r="D32" s="6">
        <v>-8978000000</v>
      </c>
      <c r="E32" s="6">
        <v>8978000000</v>
      </c>
      <c r="F32" s="6">
        <v>-2364000000</v>
      </c>
      <c r="G32" s="6">
        <v>2364000000</v>
      </c>
      <c r="H32" s="14">
        <v>0</v>
      </c>
      <c r="I32" s="4">
        <v>0</v>
      </c>
      <c r="J32" s="4">
        <v>0</v>
      </c>
      <c r="K32" s="4">
        <v>0</v>
      </c>
      <c r="L32" s="4">
        <v>0</v>
      </c>
      <c r="M32" s="14">
        <v>0</v>
      </c>
      <c r="N32" s="4">
        <v>0</v>
      </c>
      <c r="O32" s="6">
        <v>-5309000000</v>
      </c>
      <c r="P32" s="4">
        <v>0</v>
      </c>
      <c r="Q32" s="6">
        <v>-1039000000</v>
      </c>
      <c r="R32" s="1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14">
        <v>0</v>
      </c>
      <c r="Y32" s="4">
        <v>0</v>
      </c>
      <c r="Z32" s="4">
        <v>0</v>
      </c>
      <c r="AA32" s="4">
        <v>0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14">
        <v>0</v>
      </c>
    </row>
    <row r="33" spans="1:43" x14ac:dyDescent="0.25">
      <c r="A33" s="5" t="s">
        <v>164</v>
      </c>
      <c r="B33" s="4">
        <v>0</v>
      </c>
      <c r="C33" s="4">
        <v>0</v>
      </c>
      <c r="D33" s="4">
        <v>0</v>
      </c>
      <c r="E33" s="6">
        <v>-12769000000</v>
      </c>
      <c r="F33" s="4">
        <v>0</v>
      </c>
      <c r="G33" s="4">
        <v>0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</row>
    <row r="34" spans="1:43" x14ac:dyDescent="0.25">
      <c r="A34" s="5" t="s">
        <v>165</v>
      </c>
      <c r="B34" s="14">
        <v>0</v>
      </c>
      <c r="C34" s="6">
        <v>2320000000</v>
      </c>
      <c r="D34" s="6">
        <v>-2320000000</v>
      </c>
      <c r="E34" s="6">
        <v>8662000000</v>
      </c>
      <c r="F34" s="4">
        <v>0</v>
      </c>
      <c r="G34" s="6">
        <v>42746000000</v>
      </c>
      <c r="H34" s="14">
        <v>0</v>
      </c>
      <c r="I34" s="4">
        <v>0</v>
      </c>
      <c r="J34" s="4">
        <v>0</v>
      </c>
      <c r="K34" s="4">
        <v>0</v>
      </c>
      <c r="L34" s="4">
        <v>0</v>
      </c>
      <c r="M34" s="14">
        <v>0</v>
      </c>
      <c r="N34" s="4">
        <v>0</v>
      </c>
      <c r="O34" s="4">
        <v>0</v>
      </c>
      <c r="P34" s="6">
        <v>25100000000</v>
      </c>
      <c r="Q34" s="4">
        <v>0</v>
      </c>
      <c r="R34" s="14">
        <v>0</v>
      </c>
      <c r="S34" s="4">
        <v>0</v>
      </c>
      <c r="T34" s="6">
        <v>11533000000</v>
      </c>
      <c r="U34" s="6">
        <v>15470000000</v>
      </c>
      <c r="V34" s="4">
        <v>0</v>
      </c>
      <c r="W34" s="4">
        <v>0</v>
      </c>
      <c r="X34" s="14">
        <v>0</v>
      </c>
      <c r="Y34" s="6">
        <v>24026000000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14">
        <v>0</v>
      </c>
    </row>
    <row r="35" spans="1:43" x14ac:dyDescent="0.25">
      <c r="A35" s="5" t="s">
        <v>166</v>
      </c>
      <c r="B35" s="14">
        <v>0</v>
      </c>
      <c r="C35" s="4">
        <v>0</v>
      </c>
      <c r="D35" s="4">
        <v>0</v>
      </c>
      <c r="E35" s="6">
        <v>0</v>
      </c>
      <c r="F35" s="4">
        <v>0</v>
      </c>
      <c r="G35" s="4">
        <v>0</v>
      </c>
      <c r="H35" s="14">
        <v>0</v>
      </c>
      <c r="I35" s="4">
        <v>0</v>
      </c>
      <c r="J35" s="4">
        <v>0</v>
      </c>
      <c r="K35" s="4">
        <v>0</v>
      </c>
      <c r="L35" s="4">
        <v>0</v>
      </c>
      <c r="M35" s="14">
        <v>0</v>
      </c>
      <c r="N35" s="4">
        <v>0</v>
      </c>
      <c r="O35" s="4">
        <v>0</v>
      </c>
      <c r="P35" s="6">
        <v>-16378000000</v>
      </c>
      <c r="Q35" s="4">
        <v>5000000</v>
      </c>
      <c r="R35" s="1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14">
        <v>0</v>
      </c>
      <c r="Y35" s="4">
        <v>0</v>
      </c>
      <c r="Z35" s="4">
        <v>0</v>
      </c>
      <c r="AA35" s="4">
        <v>0</v>
      </c>
      <c r="AB35" s="4">
        <v>0</v>
      </c>
      <c r="AC35" s="4">
        <v>0</v>
      </c>
      <c r="AD35" s="4">
        <v>0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14">
        <v>0</v>
      </c>
    </row>
    <row r="36" spans="1:43" x14ac:dyDescent="0.25">
      <c r="A36" s="5" t="s">
        <v>167</v>
      </c>
      <c r="B36" s="6">
        <v>-21060000000</v>
      </c>
      <c r="C36" s="6">
        <v>4220000000</v>
      </c>
      <c r="D36" s="6">
        <v>8312000000</v>
      </c>
      <c r="E36" s="6">
        <v>8528000000</v>
      </c>
      <c r="F36" s="6">
        <v>-22474000000</v>
      </c>
      <c r="G36" s="6">
        <v>22474000000</v>
      </c>
      <c r="H36" s="14">
        <v>0</v>
      </c>
      <c r="I36" s="4">
        <v>0</v>
      </c>
      <c r="J36" s="4">
        <v>0</v>
      </c>
      <c r="K36" s="4">
        <v>0</v>
      </c>
      <c r="L36" s="4">
        <v>0</v>
      </c>
      <c r="M36" s="14">
        <v>0</v>
      </c>
      <c r="N36" s="4">
        <v>0</v>
      </c>
      <c r="O36" s="4">
        <v>0</v>
      </c>
      <c r="P36" s="4">
        <v>0</v>
      </c>
      <c r="Q36" s="4">
        <v>0</v>
      </c>
      <c r="R36" s="1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14">
        <v>0</v>
      </c>
      <c r="Y36" s="4">
        <v>0</v>
      </c>
      <c r="Z36" s="4">
        <v>0</v>
      </c>
      <c r="AA36" s="4">
        <v>0</v>
      </c>
      <c r="AB36" s="4">
        <v>0</v>
      </c>
      <c r="AC36" s="4">
        <v>0</v>
      </c>
      <c r="AD36" s="4">
        <v>0</v>
      </c>
      <c r="AE36" s="4">
        <v>0</v>
      </c>
      <c r="AF36" s="4">
        <v>0</v>
      </c>
      <c r="AG36" s="4">
        <v>0</v>
      </c>
      <c r="AH36" s="4">
        <v>0</v>
      </c>
      <c r="AI36" s="6">
        <v>-657639000000</v>
      </c>
      <c r="AJ36" s="4">
        <v>0</v>
      </c>
      <c r="AK36" s="6">
        <v>657639000000</v>
      </c>
      <c r="AL36" s="4">
        <v>0</v>
      </c>
      <c r="AM36" s="4">
        <v>0</v>
      </c>
      <c r="AN36" s="4">
        <v>0</v>
      </c>
      <c r="AO36" s="4">
        <v>0</v>
      </c>
      <c r="AP36" s="4">
        <v>0</v>
      </c>
      <c r="AQ36" s="6">
        <v>-7735644000000</v>
      </c>
    </row>
    <row r="37" spans="1:43" x14ac:dyDescent="0.25">
      <c r="A37" s="5" t="s">
        <v>168</v>
      </c>
      <c r="B37" s="6">
        <v>4761000000</v>
      </c>
      <c r="C37" s="6">
        <v>-4761000000</v>
      </c>
      <c r="D37" s="6">
        <v>28348000000</v>
      </c>
      <c r="E37" s="6">
        <v>54724000000</v>
      </c>
      <c r="F37" s="6">
        <v>82026000000</v>
      </c>
      <c r="G37" s="6">
        <v>-71739000000</v>
      </c>
      <c r="H37" s="6">
        <v>2240000000</v>
      </c>
      <c r="I37" s="6">
        <v>-6669000000</v>
      </c>
      <c r="J37" s="6">
        <v>2730000000</v>
      </c>
      <c r="K37" s="4">
        <v>806000000</v>
      </c>
      <c r="L37" s="4">
        <v>0</v>
      </c>
      <c r="M37" s="6">
        <v>62260000000</v>
      </c>
      <c r="N37" s="4">
        <v>0</v>
      </c>
      <c r="O37" s="4">
        <v>0</v>
      </c>
      <c r="P37" s="4">
        <v>0</v>
      </c>
      <c r="Q37" s="4">
        <v>0</v>
      </c>
      <c r="R37" s="14">
        <v>0</v>
      </c>
      <c r="S37" s="4">
        <v>0</v>
      </c>
      <c r="T37" s="4">
        <v>0</v>
      </c>
      <c r="U37" s="4">
        <v>0</v>
      </c>
      <c r="V37" s="4">
        <v>0</v>
      </c>
      <c r="W37" s="6">
        <v>18696000000</v>
      </c>
      <c r="X37" s="6">
        <v>15402000000</v>
      </c>
      <c r="Y37" s="6">
        <v>17677000000</v>
      </c>
      <c r="Z37" s="4">
        <v>500000000</v>
      </c>
      <c r="AA37" s="4">
        <v>0</v>
      </c>
      <c r="AB37" s="1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6">
        <v>14375000000</v>
      </c>
      <c r="AJ37" s="4">
        <v>0</v>
      </c>
      <c r="AK37" s="6">
        <v>-672450000000</v>
      </c>
      <c r="AL37" s="6">
        <v>11880000000</v>
      </c>
      <c r="AM37" s="4">
        <v>0</v>
      </c>
      <c r="AN37" s="4">
        <v>0</v>
      </c>
      <c r="AO37" s="4">
        <v>0</v>
      </c>
      <c r="AP37" s="4">
        <v>0</v>
      </c>
      <c r="AQ37" s="4">
        <v>0</v>
      </c>
    </row>
    <row r="38" spans="1:43" x14ac:dyDescent="0.25">
      <c r="A38" s="5" t="s">
        <v>169</v>
      </c>
      <c r="B38" s="14">
        <v>454000000</v>
      </c>
      <c r="C38" s="6">
        <v>3021000000</v>
      </c>
      <c r="D38" s="6">
        <v>149344000000</v>
      </c>
      <c r="E38" s="6">
        <v>-140534000000</v>
      </c>
      <c r="F38" s="6">
        <v>1052000000</v>
      </c>
      <c r="G38" s="6">
        <v>15714000000</v>
      </c>
      <c r="H38" s="6">
        <v>26865000000</v>
      </c>
      <c r="I38" s="6">
        <v>150250000000</v>
      </c>
      <c r="J38" s="6">
        <v>22431000000</v>
      </c>
      <c r="K38" s="6">
        <v>26111000000</v>
      </c>
      <c r="L38" s="6">
        <v>53618000000</v>
      </c>
      <c r="M38" s="14">
        <v>0</v>
      </c>
      <c r="N38" s="4">
        <v>0</v>
      </c>
      <c r="O38" s="6">
        <v>27069000000</v>
      </c>
      <c r="P38" s="4">
        <v>0</v>
      </c>
      <c r="Q38" s="4">
        <v>0</v>
      </c>
      <c r="R38" s="14">
        <v>0</v>
      </c>
      <c r="S38" s="4">
        <v>260000000</v>
      </c>
      <c r="T38" s="4">
        <v>0</v>
      </c>
      <c r="U38" s="4">
        <v>0</v>
      </c>
      <c r="V38" s="4">
        <v>0</v>
      </c>
      <c r="W38" s="4">
        <v>0</v>
      </c>
      <c r="X38" s="14">
        <v>0</v>
      </c>
      <c r="Y38" s="4">
        <v>0</v>
      </c>
      <c r="Z38" s="6">
        <v>17535000000</v>
      </c>
      <c r="AA38" s="6">
        <v>4534000000</v>
      </c>
      <c r="AB38" s="14">
        <v>0</v>
      </c>
      <c r="AC38" s="4">
        <v>0</v>
      </c>
      <c r="AD38" s="6">
        <v>5224000000</v>
      </c>
      <c r="AE38" s="4">
        <v>0</v>
      </c>
      <c r="AF38" s="6">
        <v>4101000000</v>
      </c>
      <c r="AG38" s="14">
        <v>0</v>
      </c>
      <c r="AH38" s="4">
        <v>0</v>
      </c>
      <c r="AI38" s="4">
        <v>0</v>
      </c>
      <c r="AJ38" s="4">
        <v>0</v>
      </c>
      <c r="AK38" s="6">
        <v>17375000000</v>
      </c>
      <c r="AL38" s="4">
        <v>0</v>
      </c>
      <c r="AM38" s="6">
        <v>4896000000</v>
      </c>
      <c r="AN38" s="4">
        <v>0</v>
      </c>
      <c r="AO38" s="6">
        <v>3625000000</v>
      </c>
      <c r="AP38" s="6">
        <v>4329000000</v>
      </c>
      <c r="AQ38" s="6">
        <v>1352000000</v>
      </c>
    </row>
    <row r="39" spans="1:43" x14ac:dyDescent="0.25">
      <c r="A39" s="3" t="s">
        <v>170</v>
      </c>
      <c r="B39" s="4">
        <v>0</v>
      </c>
      <c r="C39" s="6">
        <v>-809987000000</v>
      </c>
      <c r="D39" s="4">
        <v>11000000</v>
      </c>
      <c r="E39" s="6">
        <v>3109989000000</v>
      </c>
      <c r="F39" s="4">
        <v>0</v>
      </c>
      <c r="G39" s="4">
        <v>0</v>
      </c>
      <c r="H39" s="6">
        <v>-150000000000</v>
      </c>
      <c r="I39" s="6">
        <v>3168656000000</v>
      </c>
      <c r="J39" s="4">
        <v>0</v>
      </c>
      <c r="K39" s="4">
        <v>0</v>
      </c>
      <c r="L39" s="6">
        <v>-1275300000000</v>
      </c>
      <c r="M39" s="6">
        <v>-150000000000</v>
      </c>
      <c r="N39" s="4">
        <v>0</v>
      </c>
      <c r="O39" s="4">
        <v>0</v>
      </c>
      <c r="P39" s="4">
        <v>0</v>
      </c>
      <c r="Q39" s="6">
        <v>-158927000000</v>
      </c>
      <c r="R39" s="6">
        <v>-311753000000</v>
      </c>
      <c r="S39" s="4">
        <v>-155000000</v>
      </c>
      <c r="T39" s="4">
        <v>1000000</v>
      </c>
      <c r="U39" s="4">
        <v>-28000000</v>
      </c>
      <c r="V39" s="4">
        <v>0</v>
      </c>
      <c r="W39" s="4">
        <v>0</v>
      </c>
      <c r="X39" s="4">
        <v>0</v>
      </c>
      <c r="Y39" s="4">
        <v>0</v>
      </c>
      <c r="Z39" s="4">
        <v>0</v>
      </c>
      <c r="AA39" s="6">
        <v>200000000000</v>
      </c>
      <c r="AB39" s="4">
        <v>0</v>
      </c>
      <c r="AC39" s="4">
        <v>0</v>
      </c>
      <c r="AD39" s="4">
        <v>0</v>
      </c>
      <c r="AE39" s="6">
        <v>-2515261000000</v>
      </c>
      <c r="AF39" s="4">
        <v>0</v>
      </c>
      <c r="AG39" s="4">
        <v>0</v>
      </c>
      <c r="AH39" s="4">
        <v>0</v>
      </c>
      <c r="AI39" s="4">
        <v>0</v>
      </c>
      <c r="AJ39" s="6">
        <v>-2912551000000</v>
      </c>
      <c r="AK39" s="6">
        <v>200000000000</v>
      </c>
      <c r="AL39" s="4">
        <v>0</v>
      </c>
      <c r="AM39" s="4">
        <v>0</v>
      </c>
      <c r="AN39" s="6">
        <v>4623542000000</v>
      </c>
      <c r="AO39" s="6">
        <v>3200136000000</v>
      </c>
      <c r="AP39" s="6">
        <v>1432085000000</v>
      </c>
      <c r="AQ39" s="6">
        <v>-840971000000</v>
      </c>
    </row>
    <row r="40" spans="1:43" x14ac:dyDescent="0.25">
      <c r="A40" s="5" t="s">
        <v>171</v>
      </c>
      <c r="B40" s="4">
        <v>0</v>
      </c>
      <c r="C40" s="4">
        <v>0</v>
      </c>
      <c r="D40" s="4">
        <v>0</v>
      </c>
      <c r="E40" s="6">
        <v>0</v>
      </c>
      <c r="F40" s="4">
        <v>0</v>
      </c>
      <c r="G40" s="4">
        <v>0</v>
      </c>
      <c r="H40" s="4">
        <v>0</v>
      </c>
      <c r="I40" s="6">
        <v>3018656000000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6">
        <v>200000000000</v>
      </c>
      <c r="AB40" s="4">
        <v>0</v>
      </c>
      <c r="AC40" s="4">
        <v>0</v>
      </c>
      <c r="AD40" s="4">
        <v>0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6">
        <v>200000000000</v>
      </c>
      <c r="AL40" s="4">
        <v>0</v>
      </c>
      <c r="AM40" s="4">
        <v>0</v>
      </c>
      <c r="AN40" s="4">
        <v>0</v>
      </c>
      <c r="AO40" s="6">
        <v>4179573000000</v>
      </c>
      <c r="AP40" s="4">
        <v>0</v>
      </c>
      <c r="AQ40" s="4">
        <v>0</v>
      </c>
    </row>
    <row r="41" spans="1:43" x14ac:dyDescent="0.25">
      <c r="A41" s="5" t="s">
        <v>172</v>
      </c>
      <c r="B41" s="4">
        <v>0</v>
      </c>
      <c r="C41" s="4">
        <v>0</v>
      </c>
      <c r="D41" s="4">
        <v>0</v>
      </c>
      <c r="E41" s="6">
        <v>4080000000000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4">
        <v>0</v>
      </c>
      <c r="AC41" s="4">
        <v>0</v>
      </c>
      <c r="AD41" s="4">
        <v>0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6">
        <v>8531600000000</v>
      </c>
      <c r="AO41" s="6">
        <v>2900000000000</v>
      </c>
      <c r="AP41" s="6">
        <v>4695450000000</v>
      </c>
      <c r="AQ41" s="6">
        <v>606200000000</v>
      </c>
    </row>
    <row r="42" spans="1:43" x14ac:dyDescent="0.25">
      <c r="A42" s="5" t="s">
        <v>173</v>
      </c>
      <c r="B42" s="4">
        <v>0</v>
      </c>
      <c r="C42" s="4">
        <v>0</v>
      </c>
      <c r="D42" s="4">
        <v>0</v>
      </c>
      <c r="E42" s="6">
        <v>-970000000000</v>
      </c>
      <c r="F42" s="4">
        <v>0</v>
      </c>
      <c r="G42" s="4">
        <v>0</v>
      </c>
      <c r="H42" s="4">
        <v>0</v>
      </c>
      <c r="I42" s="4">
        <v>0</v>
      </c>
      <c r="J42" s="4">
        <v>0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  <c r="AC42" s="4">
        <v>0</v>
      </c>
      <c r="AD42" s="4">
        <v>0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6">
        <v>-3908058000000</v>
      </c>
      <c r="AO42" s="6">
        <v>-4344965000000</v>
      </c>
      <c r="AP42" s="6">
        <v>-3263365000000</v>
      </c>
      <c r="AQ42" s="6">
        <v>-1447171000000</v>
      </c>
    </row>
    <row r="43" spans="1:43" x14ac:dyDescent="0.25">
      <c r="A43" s="5" t="s">
        <v>174</v>
      </c>
      <c r="B43" s="14">
        <v>0</v>
      </c>
      <c r="C43" s="6">
        <v>-809987000000</v>
      </c>
      <c r="D43" s="4">
        <v>11000000</v>
      </c>
      <c r="E43" s="6">
        <v>-11000000</v>
      </c>
      <c r="F43" s="4">
        <v>0</v>
      </c>
      <c r="G43" s="4">
        <v>0</v>
      </c>
      <c r="H43" s="6">
        <v>-150000000000</v>
      </c>
      <c r="I43" s="6">
        <v>150000000000</v>
      </c>
      <c r="J43" s="4">
        <v>0</v>
      </c>
      <c r="K43" s="4">
        <v>0</v>
      </c>
      <c r="L43" s="6">
        <v>-1275300000000</v>
      </c>
      <c r="M43" s="6">
        <v>-150000000000</v>
      </c>
      <c r="N43" s="4">
        <v>0</v>
      </c>
      <c r="O43" s="4">
        <v>0</v>
      </c>
      <c r="P43" s="4">
        <v>0</v>
      </c>
      <c r="Q43" s="4">
        <v>0</v>
      </c>
      <c r="R43" s="14">
        <v>0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14">
        <v>0</v>
      </c>
      <c r="Y43" s="4">
        <v>0</v>
      </c>
      <c r="Z43" s="4">
        <v>0</v>
      </c>
      <c r="AA43" s="4">
        <v>0</v>
      </c>
      <c r="AB43" s="4">
        <v>0</v>
      </c>
      <c r="AC43" s="4">
        <v>0</v>
      </c>
      <c r="AD43" s="4">
        <v>0</v>
      </c>
      <c r="AE43" s="6">
        <v>-2515261000000</v>
      </c>
      <c r="AF43" s="4">
        <v>0</v>
      </c>
      <c r="AG43" s="14">
        <v>0</v>
      </c>
      <c r="AH43" s="4">
        <v>0</v>
      </c>
      <c r="AI43" s="4">
        <v>0</v>
      </c>
      <c r="AJ43" s="6">
        <v>-2912551000000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4">
        <v>0</v>
      </c>
      <c r="AQ43" s="14">
        <v>0</v>
      </c>
    </row>
    <row r="44" spans="1:43" x14ac:dyDescent="0.25">
      <c r="A44" s="5" t="s">
        <v>175</v>
      </c>
      <c r="B44" s="4">
        <v>0</v>
      </c>
      <c r="C44" s="4">
        <v>0</v>
      </c>
      <c r="D44" s="4">
        <v>0</v>
      </c>
      <c r="E44" s="6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6">
        <v>-158927000000</v>
      </c>
      <c r="R44" s="6">
        <v>-344668000000</v>
      </c>
      <c r="S44" s="4">
        <v>-56000000</v>
      </c>
      <c r="T44" s="4">
        <v>1000000</v>
      </c>
      <c r="U44" s="4">
        <v>-28000000</v>
      </c>
      <c r="V44" s="4">
        <v>0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  <c r="AC44" s="4">
        <v>0</v>
      </c>
      <c r="AD44" s="4">
        <v>0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4">
        <v>0</v>
      </c>
      <c r="AQ44" s="4">
        <v>0</v>
      </c>
    </row>
    <row r="45" spans="1:43" x14ac:dyDescent="0.25">
      <c r="A45" s="5" t="s">
        <v>176</v>
      </c>
      <c r="B45" s="4">
        <v>0</v>
      </c>
      <c r="C45" s="4">
        <v>0</v>
      </c>
      <c r="D45" s="4">
        <v>0</v>
      </c>
      <c r="E45" s="6">
        <v>0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6">
        <v>32915000000</v>
      </c>
      <c r="S45" s="4">
        <v>-99000000</v>
      </c>
      <c r="T45" s="4">
        <v>0</v>
      </c>
      <c r="U45" s="4">
        <v>0</v>
      </c>
      <c r="V45" s="4">
        <v>0</v>
      </c>
      <c r="W45" s="4">
        <v>0</v>
      </c>
      <c r="X45" s="4">
        <v>0</v>
      </c>
      <c r="Y45" s="4">
        <v>0</v>
      </c>
      <c r="Z45" s="4">
        <v>0</v>
      </c>
      <c r="AA45" s="4">
        <v>0</v>
      </c>
      <c r="AB45" s="4">
        <v>0</v>
      </c>
      <c r="AC45" s="4">
        <v>0</v>
      </c>
      <c r="AD45" s="4">
        <v>0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6">
        <v>465528000000</v>
      </c>
      <c r="AP45" s="4">
        <v>0</v>
      </c>
      <c r="AQ45" s="4">
        <v>0</v>
      </c>
    </row>
    <row r="46" spans="1:43" x14ac:dyDescent="0.25">
      <c r="A46" s="13" t="s">
        <v>177</v>
      </c>
      <c r="B46" s="6">
        <v>2887948000000</v>
      </c>
      <c r="C46" s="6">
        <v>-241170000000</v>
      </c>
      <c r="D46" s="6">
        <v>1966476000000</v>
      </c>
      <c r="E46" s="6">
        <v>3923043000000</v>
      </c>
      <c r="F46" s="6">
        <v>4240543000000</v>
      </c>
      <c r="G46" s="6">
        <v>2825494000000</v>
      </c>
      <c r="H46" s="6">
        <v>-5258985000000</v>
      </c>
      <c r="I46" s="6">
        <v>776644000000</v>
      </c>
      <c r="J46" s="6">
        <v>-1626570000000</v>
      </c>
      <c r="K46" s="6">
        <v>5419745000000</v>
      </c>
      <c r="L46" s="6">
        <v>-1683875000000</v>
      </c>
      <c r="M46" s="6">
        <v>12158807000000</v>
      </c>
      <c r="N46" s="6">
        <v>-16001193000000</v>
      </c>
      <c r="O46" s="6">
        <v>213182000000</v>
      </c>
      <c r="P46" s="6">
        <v>4895915000000</v>
      </c>
      <c r="Q46" s="6">
        <v>1797915000000</v>
      </c>
      <c r="R46" s="6">
        <v>-7877514000000</v>
      </c>
      <c r="S46" s="6">
        <v>6313690000000</v>
      </c>
      <c r="T46" s="6">
        <v>10724090000000</v>
      </c>
      <c r="U46" s="6">
        <v>15233055000000</v>
      </c>
      <c r="V46" s="6">
        <v>3625512000000</v>
      </c>
      <c r="W46" s="6">
        <v>-2582497000000</v>
      </c>
      <c r="X46" s="6">
        <v>7198131000000</v>
      </c>
      <c r="Y46" s="6">
        <v>7133442000000</v>
      </c>
      <c r="Z46" s="6">
        <v>-8636729000000</v>
      </c>
      <c r="AA46" s="6">
        <v>-7624397000000</v>
      </c>
      <c r="AB46" s="6">
        <v>6413722000000</v>
      </c>
      <c r="AC46" s="6">
        <v>-5749659000000</v>
      </c>
      <c r="AD46" s="6">
        <v>8539540000000</v>
      </c>
      <c r="AE46" s="6">
        <v>34869406000000</v>
      </c>
      <c r="AF46" s="6">
        <v>-17894666000000</v>
      </c>
      <c r="AG46" s="6">
        <v>52363661000000</v>
      </c>
      <c r="AH46" s="6">
        <v>-27752704000000</v>
      </c>
      <c r="AI46" s="6">
        <v>13665398000000</v>
      </c>
      <c r="AJ46" s="6">
        <v>7493798000000</v>
      </c>
      <c r="AK46" s="6">
        <v>11443267000000</v>
      </c>
      <c r="AL46" s="6">
        <v>2335958000000</v>
      </c>
      <c r="AM46" s="6">
        <v>-1538633000000</v>
      </c>
      <c r="AN46" s="6">
        <v>30591677000000</v>
      </c>
      <c r="AO46" s="6">
        <v>51724054000000</v>
      </c>
      <c r="AP46" s="6">
        <v>1098974000000</v>
      </c>
      <c r="AQ46" s="6">
        <v>-29923110000000</v>
      </c>
    </row>
    <row r="47" spans="1:43" x14ac:dyDescent="0.25">
      <c r="A47" s="13" t="s">
        <v>178</v>
      </c>
      <c r="B47" s="6">
        <v>14069062000000</v>
      </c>
      <c r="C47" s="6">
        <v>16957010000000</v>
      </c>
      <c r="D47" s="6">
        <v>16720368000000</v>
      </c>
      <c r="E47" s="6">
        <v>18668274000000</v>
      </c>
      <c r="F47" s="6">
        <v>22605358000000</v>
      </c>
      <c r="G47" s="6">
        <v>26843770000000</v>
      </c>
      <c r="H47" s="6">
        <v>29667386000000</v>
      </c>
      <c r="I47" s="6">
        <v>24375456000000</v>
      </c>
      <c r="J47" s="6">
        <v>25189053000000</v>
      </c>
      <c r="K47" s="6">
        <v>23600089000000</v>
      </c>
      <c r="L47" s="6">
        <v>28999872000000</v>
      </c>
      <c r="M47" s="6">
        <v>27314977000000</v>
      </c>
      <c r="N47" s="6">
        <v>39457161000000</v>
      </c>
      <c r="O47" s="6">
        <v>23464025000000</v>
      </c>
      <c r="P47" s="6">
        <v>23676394000000</v>
      </c>
      <c r="Q47" s="6">
        <v>28574156000000</v>
      </c>
      <c r="R47" s="6">
        <v>30362980000000</v>
      </c>
      <c r="S47" s="6">
        <v>22504836000000</v>
      </c>
      <c r="T47" s="6">
        <v>28814315000000</v>
      </c>
      <c r="U47" s="6">
        <v>39551041000000</v>
      </c>
      <c r="V47" s="6">
        <v>54756301000000</v>
      </c>
      <c r="W47" s="6">
        <v>58411736000000</v>
      </c>
      <c r="X47" s="6">
        <v>55837268000000</v>
      </c>
      <c r="Y47" s="6">
        <v>63062033000000</v>
      </c>
      <c r="Z47" s="6">
        <v>70130889000000</v>
      </c>
      <c r="AA47" s="6">
        <v>61507953000000</v>
      </c>
      <c r="AB47" s="6">
        <v>53855970000000</v>
      </c>
      <c r="AC47" s="6">
        <v>60246167000000</v>
      </c>
      <c r="AD47" s="6">
        <v>54533826000000</v>
      </c>
      <c r="AE47" s="6">
        <v>63092329000000</v>
      </c>
      <c r="AF47" s="6">
        <v>97958806000000</v>
      </c>
      <c r="AG47" s="6">
        <v>80105426000000</v>
      </c>
      <c r="AH47" s="6">
        <v>132411767000000</v>
      </c>
      <c r="AI47" s="6">
        <v>104746444000000</v>
      </c>
      <c r="AJ47" s="6">
        <v>118296318000000</v>
      </c>
      <c r="AK47" s="6">
        <v>125917015000000</v>
      </c>
      <c r="AL47" s="6">
        <v>137261526000000</v>
      </c>
      <c r="AM47" s="6">
        <v>139628360000000</v>
      </c>
      <c r="AN47" s="6">
        <v>138031874000000</v>
      </c>
      <c r="AO47" s="6">
        <v>168657364000000</v>
      </c>
      <c r="AP47" s="6">
        <v>220374582000000</v>
      </c>
      <c r="AQ47" s="6">
        <v>221481719000000</v>
      </c>
    </row>
    <row r="48" spans="1:43" x14ac:dyDescent="0.25">
      <c r="A48" s="13" t="s">
        <v>179</v>
      </c>
      <c r="B48" s="4">
        <v>0</v>
      </c>
      <c r="C48" s="6">
        <v>4528000000</v>
      </c>
      <c r="D48" s="6">
        <v>-18570000000</v>
      </c>
      <c r="E48" s="6">
        <v>14042000000</v>
      </c>
      <c r="F48" s="6">
        <v>-2131000000</v>
      </c>
      <c r="G48" s="6">
        <v>-1878000000</v>
      </c>
      <c r="H48" s="6">
        <v>-32945000000</v>
      </c>
      <c r="I48" s="6">
        <v>36954000000</v>
      </c>
      <c r="J48" s="6">
        <v>37606000000</v>
      </c>
      <c r="K48" s="6">
        <v>-19962000000</v>
      </c>
      <c r="L48" s="6">
        <v>-1020000000</v>
      </c>
      <c r="M48" s="6">
        <v>-16623000000</v>
      </c>
      <c r="N48" s="6">
        <v>8057000000</v>
      </c>
      <c r="O48" s="4">
        <v>-813000000</v>
      </c>
      <c r="P48" s="6">
        <v>1847000000</v>
      </c>
      <c r="Q48" s="6">
        <v>-9091000000</v>
      </c>
      <c r="R48" s="6">
        <v>19370000000</v>
      </c>
      <c r="S48" s="6">
        <v>-4211000000</v>
      </c>
      <c r="T48" s="6">
        <v>12636000000</v>
      </c>
      <c r="U48" s="6">
        <v>-27795000000</v>
      </c>
      <c r="V48" s="6">
        <v>29923000000</v>
      </c>
      <c r="W48" s="6">
        <v>8029000000</v>
      </c>
      <c r="X48" s="6">
        <v>26634000000</v>
      </c>
      <c r="Y48" s="6">
        <v>-64586000000</v>
      </c>
      <c r="Z48" s="6">
        <v>13793000000</v>
      </c>
      <c r="AA48" s="6">
        <v>-27586000000</v>
      </c>
      <c r="AB48" s="6">
        <v>-23525000000</v>
      </c>
      <c r="AC48" s="6">
        <v>37318000000</v>
      </c>
      <c r="AD48" s="6">
        <v>18963000000</v>
      </c>
      <c r="AE48" s="6">
        <v>-2929000000</v>
      </c>
      <c r="AF48" s="6">
        <v>41286000000</v>
      </c>
      <c r="AG48" s="6">
        <v>-57320000000</v>
      </c>
      <c r="AH48" s="6">
        <v>87381000000</v>
      </c>
      <c r="AI48" s="6">
        <v>-115524000000</v>
      </c>
      <c r="AJ48" s="6">
        <v>126899000000</v>
      </c>
      <c r="AK48" s="6">
        <v>-98756000000</v>
      </c>
      <c r="AL48" s="6">
        <v>30876000000</v>
      </c>
      <c r="AM48" s="6">
        <v>-57853000000</v>
      </c>
      <c r="AN48" s="6">
        <v>33813000000</v>
      </c>
      <c r="AO48" s="6">
        <v>-6836000000</v>
      </c>
      <c r="AP48" s="6">
        <v>8163000000</v>
      </c>
      <c r="AQ48" s="6">
        <v>-19836000000</v>
      </c>
    </row>
    <row r="49" spans="1:43" x14ac:dyDescent="0.25">
      <c r="A49" s="13" t="s">
        <v>180</v>
      </c>
      <c r="B49" s="6">
        <v>16957010000000</v>
      </c>
      <c r="C49" s="6">
        <v>16720368000000</v>
      </c>
      <c r="D49" s="6">
        <v>18668274000000</v>
      </c>
      <c r="E49" s="6">
        <v>22605359000000</v>
      </c>
      <c r="F49" s="6">
        <v>26843770000000</v>
      </c>
      <c r="G49" s="6">
        <v>29667386000000</v>
      </c>
      <c r="H49" s="6">
        <v>24375456000000</v>
      </c>
      <c r="I49" s="6">
        <v>25189053000000</v>
      </c>
      <c r="J49" s="6">
        <v>23600089000000</v>
      </c>
      <c r="K49" s="6">
        <v>28999872000000</v>
      </c>
      <c r="L49" s="6">
        <v>27314977000000</v>
      </c>
      <c r="M49" s="6">
        <v>39457161000000</v>
      </c>
      <c r="N49" s="6">
        <v>23464025000000</v>
      </c>
      <c r="O49" s="6">
        <v>23676394000000</v>
      </c>
      <c r="P49" s="6">
        <v>28574156000000</v>
      </c>
      <c r="Q49" s="6">
        <v>30362980000000</v>
      </c>
      <c r="R49" s="6">
        <v>22504836000000</v>
      </c>
      <c r="S49" s="6">
        <v>28814315000000</v>
      </c>
      <c r="T49" s="6">
        <v>39551041000000</v>
      </c>
      <c r="U49" s="6">
        <v>54756301000000</v>
      </c>
      <c r="V49" s="6">
        <v>58411736000000</v>
      </c>
      <c r="W49" s="6">
        <v>55837268000000</v>
      </c>
      <c r="X49" s="6">
        <v>63062033000000</v>
      </c>
      <c r="Y49" s="6">
        <v>70130889000000</v>
      </c>
      <c r="Z49" s="6">
        <v>61507953000000</v>
      </c>
      <c r="AA49" s="6">
        <v>53855970000000</v>
      </c>
      <c r="AB49" s="6">
        <v>60246167000000</v>
      </c>
      <c r="AC49" s="6">
        <v>54533826000000</v>
      </c>
      <c r="AD49" s="6">
        <v>63092329000000</v>
      </c>
      <c r="AE49" s="6">
        <v>97958806000000</v>
      </c>
      <c r="AF49" s="6">
        <v>80105426000000</v>
      </c>
      <c r="AG49" s="6">
        <v>132411767000000</v>
      </c>
      <c r="AH49" s="6">
        <v>104746444000000</v>
      </c>
      <c r="AI49" s="6">
        <v>118296318000000</v>
      </c>
      <c r="AJ49" s="6">
        <v>125917015000000</v>
      </c>
      <c r="AK49" s="6">
        <v>137261526000000</v>
      </c>
      <c r="AL49" s="6">
        <v>139628360000000</v>
      </c>
      <c r="AM49" s="6">
        <v>138031874000000</v>
      </c>
      <c r="AN49" s="6">
        <v>168657364000000</v>
      </c>
      <c r="AO49" s="6">
        <v>220374582000000</v>
      </c>
      <c r="AP49" s="6">
        <v>221481719000000</v>
      </c>
      <c r="AQ49" s="6">
        <v>191538773000000</v>
      </c>
    </row>
    <row r="50" spans="1:43" x14ac:dyDescent="0.25">
      <c r="A50" s="16" t="s">
        <v>181</v>
      </c>
      <c r="B50" s="2">
        <v>0</v>
      </c>
      <c r="C50" s="2">
        <v>0</v>
      </c>
      <c r="D50" s="2">
        <v>0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CDKT</vt:lpstr>
      <vt:lpstr>KQKD</vt:lpstr>
      <vt:lpstr>LCTT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BHBV</dc:creator>
  <cp:lastModifiedBy>Khang Ly</cp:lastModifiedBy>
  <dcterms:created xsi:type="dcterms:W3CDTF">2026-09-24T04:06:23Z</dcterms:created>
  <dcterms:modified xsi:type="dcterms:W3CDTF">2026-10-12T16:11:37Z</dcterms:modified>
</cp:coreProperties>
</file>