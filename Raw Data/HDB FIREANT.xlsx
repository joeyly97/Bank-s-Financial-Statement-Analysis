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3f38e97295c2b7/Desktop/"/>
    </mc:Choice>
  </mc:AlternateContent>
  <xr:revisionPtr revIDLastSave="2" documentId="11_B5AD869ADB7E3963B5FA6C3E9AD295B71B0ABA64" xr6:coauthVersionLast="47" xr6:coauthVersionMax="47" xr10:uidLastSave="{088580C1-0D45-4135-9E9E-8569FAEF115D}"/>
  <bookViews>
    <workbookView xWindow="-120" yWindow="-120" windowWidth="29040" windowHeight="15720" activeTab="1" xr2:uid="{00000000-000D-0000-FFFF-FFFF00000000}"/>
  </bookViews>
  <sheets>
    <sheet name="CDKT" sheetId="1" r:id="rId1"/>
    <sheet name="KQKD" sheetId="2" r:id="rId2"/>
    <sheet name="LCT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2" l="1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B30" i="2"/>
  <c r="B29" i="2"/>
  <c r="B28" i="2"/>
  <c r="B27" i="2"/>
  <c r="B26" i="2"/>
  <c r="E55" i="3"/>
  <c r="E54" i="3"/>
  <c r="C54" i="3"/>
  <c r="D54" i="3"/>
  <c r="F54" i="3"/>
  <c r="C55" i="3"/>
  <c r="D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B54" i="3"/>
  <c r="E87" i="1" l="1"/>
  <c r="E84" i="1"/>
  <c r="E93" i="1"/>
  <c r="F79" i="1"/>
  <c r="F92" i="1"/>
  <c r="D93" i="1"/>
  <c r="D80" i="1"/>
  <c r="D87" i="1"/>
  <c r="D96" i="1"/>
  <c r="C80" i="1"/>
  <c r="C85" i="1"/>
  <c r="B93" i="1"/>
  <c r="B80" i="1"/>
  <c r="B91" i="1"/>
  <c r="B85" i="1"/>
  <c r="B96" i="1"/>
  <c r="B60" i="3"/>
  <c r="B59" i="3"/>
  <c r="B58" i="3"/>
  <c r="B57" i="3"/>
  <c r="B56" i="3"/>
  <c r="B55" i="3"/>
  <c r="C79" i="1"/>
  <c r="D79" i="1"/>
  <c r="E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C84" i="1"/>
  <c r="D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C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C92" i="1"/>
  <c r="D92" i="1"/>
  <c r="E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C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C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B95" i="1"/>
  <c r="B94" i="1"/>
  <c r="B92" i="1"/>
  <c r="B90" i="1"/>
  <c r="B89" i="1"/>
  <c r="B88" i="1"/>
  <c r="B87" i="1"/>
  <c r="B86" i="1"/>
  <c r="B84" i="1"/>
  <c r="B83" i="1"/>
  <c r="B82" i="1"/>
  <c r="B81" i="1"/>
  <c r="B79" i="1"/>
  <c r="D7" i="2" l="1"/>
</calcChain>
</file>

<file path=xl/sharedStrings.xml><?xml version="1.0" encoding="utf-8"?>
<sst xmlns="http://schemas.openxmlformats.org/spreadsheetml/2006/main" count="282" uniqueCount="192">
  <si>
    <t>Q4 2010</t>
  </si>
  <si>
    <t>Q4 2011</t>
  </si>
  <si>
    <t>Q4 2012</t>
  </si>
  <si>
    <t>Q4 2013</t>
  </si>
  <si>
    <t>Q4 2014</t>
  </si>
  <si>
    <t>TÀI SẢN</t>
  </si>
  <si>
    <t>I. Tiền mặt, chứng từ có giá trị, ngoại tệ, kim loại quý, đá quý</t>
  </si>
  <si>
    <t>II. Tiền gửi tại NHNN</t>
  </si>
  <si>
    <t>III. Tín phiếu kho bạc và các giấy tờ có giá ngắn hạn đủ tiêu chuẩn khác</t>
  </si>
  <si>
    <t>IV. Tiền, vàng gửi tại các TCTD khác và cho vay các TCTD khác</t>
  </si>
  <si>
    <t>1. Tiền, Vàng gửi tại các TCTD khác</t>
  </si>
  <si>
    <t>2. Cho vay các TCTD khác</t>
  </si>
  <si>
    <t>3. Dự phòng rủi ro cho vay các TCTD khác</t>
  </si>
  <si>
    <t>V. Chứng khoán kinh doanh</t>
  </si>
  <si>
    <t>1. Chứng khoán kinh doanh</t>
  </si>
  <si>
    <t>2. Dự phòng giảm giá chứng khoán kinh doanh</t>
  </si>
  <si>
    <t>VI. Các công cụ tài chính phái sinh và các tài sản tài chính khác</t>
  </si>
  <si>
    <t>VII. Cho vay khách hàng</t>
  </si>
  <si>
    <t>1. Cho vay khách hàng</t>
  </si>
  <si>
    <t>2. Dự phòng rủi ro cho vay khách hàng</t>
  </si>
  <si>
    <t>VIII. Chứng khoán đầu tư</t>
  </si>
  <si>
    <t>1. Chứng khoán đầu tư sẵn sàng để bán</t>
  </si>
  <si>
    <t>2. Chứng khoán đầu tư giữ đến ngày đáo hạn</t>
  </si>
  <si>
    <t>3. Dự phòng giảm giá chứng khoán đầu tư</t>
  </si>
  <si>
    <t>IX. Góp vốn đầu tư dài hạn</t>
  </si>
  <si>
    <t>1. Đầu tư vào công ty con</t>
  </si>
  <si>
    <t>2. Góp vốn liên doanh</t>
  </si>
  <si>
    <t>3. Đầu tư vào công ty liên kết</t>
  </si>
  <si>
    <t>4. Đầu tư dài hạn khác</t>
  </si>
  <si>
    <t>5. Dự phòng giảm giá đầu tư dài hạn</t>
  </si>
  <si>
    <t>X. Tài sản cố định</t>
  </si>
  <si>
    <t>1. Tài sản cố định hữu hình</t>
  </si>
  <si>
    <t>- Nguyên giá</t>
  </si>
  <si>
    <t>- Giá trị hao mòn lũy kế</t>
  </si>
  <si>
    <t>2. Tài sản cố định thuê tài chính</t>
  </si>
  <si>
    <t>3. Tài sản cố định vô hình</t>
  </si>
  <si>
    <t>5. Chi phí XDCB dở dang</t>
  </si>
  <si>
    <t>XI. Bất động sản đầu tư</t>
  </si>
  <si>
    <t>XII. Tài sản có khác</t>
  </si>
  <si>
    <t>1. Các khoản phải thu</t>
  </si>
  <si>
    <t>2. Các khoản lãi, phí phải thu</t>
  </si>
  <si>
    <t>3. Tài sản thuế TNDN hoãn lại</t>
  </si>
  <si>
    <t>4. Tài sản có khác</t>
  </si>
  <si>
    <t>- Trong đó: Lợi thế thương mại</t>
  </si>
  <si>
    <t>5. Các khoản dự phòng rủi ro cho các tài sản có nội bảng khác</t>
  </si>
  <si>
    <t>TỔNG CỘNG TÀI SẢN</t>
  </si>
  <si>
    <t>NGUỒN VỐN</t>
  </si>
  <si>
    <t>I. Các khoản nợ chính phủ và NHNN</t>
  </si>
  <si>
    <t>II. Tiền gửi và cho vay các TCTD khác</t>
  </si>
  <si>
    <t>1. Tiền gửi các tổ chức tín dụng khác</t>
  </si>
  <si>
    <t>2. Vay các TCTD khác</t>
  </si>
  <si>
    <t>III. Tiền gửi khách hàng</t>
  </si>
  <si>
    <t>IV. Các công cụ tài chính phái sinh và các khoản nợ tài chính khác</t>
  </si>
  <si>
    <t>V. Vốn tài trợ, uỷ thác đầu tư mà ngân hàng chịu rủi ro</t>
  </si>
  <si>
    <t>VI. Phát hành giấy tờ có giá</t>
  </si>
  <si>
    <t>VII. Các khoản nợ khác</t>
  </si>
  <si>
    <t>1. Các khoản lãi, phí phải trả</t>
  </si>
  <si>
    <t>2.Thuế TNDN hoãn lại phải trả</t>
  </si>
  <si>
    <t>3. Các khoản phải trả và công nợ khác</t>
  </si>
  <si>
    <t>4. Dự phòng rủi ro khác</t>
  </si>
  <si>
    <t>VIII. Vốn và các quỹ</t>
  </si>
  <si>
    <t>1. Vốn của Tổ chức tín dụng</t>
  </si>
  <si>
    <t>- Vốn điều lệ</t>
  </si>
  <si>
    <t>- Vốn đầu tư XDCB</t>
  </si>
  <si>
    <t>- Thặng dư vốn cổ phần</t>
  </si>
  <si>
    <t>- Cổ phiếu quỹ</t>
  </si>
  <si>
    <t>- Cổ phiếu ưu đãi</t>
  </si>
  <si>
    <t>- Vốn khác</t>
  </si>
  <si>
    <t>2. Quỹ của TCTD</t>
  </si>
  <si>
    <t>3. Chênh lệch tỷ giá hối đoái</t>
  </si>
  <si>
    <t>4. Chênh lệch đánh giá lại tài sản</t>
  </si>
  <si>
    <t>5. Lợi nhuận chưa phân phối/Lỗ lũy kế</t>
  </si>
  <si>
    <t>6. Nguồn kinh phí, Quỹ khác</t>
  </si>
  <si>
    <t>IX. Lợi ích của cổ đông thiểu số</t>
  </si>
  <si>
    <t>TỔNG CỘNG NGUỒN VỐN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</si>
  <si>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</si>
  <si>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</si>
  <si>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</si>
  <si>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</si>
  <si>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</si>
  <si>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</si>
  <si>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</si>
  <si>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</si>
  <si>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</si>
  <si>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</si>
  <si>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</si>
  <si>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</si>
  <si>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</si>
  <si>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</si>
  <si>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</si>
  <si>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</si>
  <si>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</si>
  <si>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</si>
  <si>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</si>
  <si>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</si>
  <si>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</si>
  <si>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</si>
  <si>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</si>
  <si>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</si>
  <si>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</si>
  <si>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</si>
  <si>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</si>
  <si>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</si>
  <si>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</si>
  <si>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</si>
  <si>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</si>
  <si>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</si>
  <si>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</si>
  <si>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</si>
  <si>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</si>
  <si>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</si>
  <si>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</si>
  <si>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</si>
  <si>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</si>
  <si>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</si>
  <si>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</si>
  <si>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</si>
  <si>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</si>
  <si>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Thu nhập lãi thuần</t>
  </si>
  <si>
    <t>Thu nhập từ lãi và các khoản thu nhập tương tự</t>
  </si>
  <si>
    <t>Chi phí lãi và các chi phí tương tự</t>
  </si>
  <si>
    <t>Lãi/Lỗ thuần từ hoạt động dịch vụ</t>
  </si>
  <si>
    <t>Thu nhập từ hoạt động dịch vụ</t>
  </si>
  <si>
    <t>Chi phí hoạt động dịch vụ</t>
  </si>
  <si>
    <t>Lãi/Lỗ thuần từ hoạt động kinh doanh ngoại hối</t>
  </si>
  <si>
    <t>Lãi/Lỗ thuần từ mua bán chứng khoán kinh doanh</t>
  </si>
  <si>
    <t>Lãi/Lỗ thuần từ mua bán chứng khoán đầu tư</t>
  </si>
  <si>
    <t>Lãi/Lỗ thuần từ hoạt động khác</t>
  </si>
  <si>
    <t>Thu nhập từ hoạt động khác</t>
  </si>
  <si>
    <t>Chi phí hoạt động khác</t>
  </si>
  <si>
    <t>Thu nhập từ hoạt động góp vốn mua cổ phần</t>
  </si>
  <si>
    <t>Chi phí hoạt động</t>
  </si>
  <si>
    <t>Lợi nhuận từ HDKD trước chi phí dự phòng rủi ro tín dụng</t>
  </si>
  <si>
    <t>Chi phí dự phòng rủi ro tín dụng</t>
  </si>
  <si>
    <t>Tổng lợi nhuận trước thuế</t>
  </si>
  <si>
    <t>Chi phí thuế TNDN</t>
  </si>
  <si>
    <t>Chi phí thuế thu nhập hiện hành</t>
  </si>
  <si>
    <t>Chi phí thuế TNDN giữ lại</t>
  </si>
  <si>
    <t>Lợi nhuận sau thuế thu nhập doanh nghiệp</t>
  </si>
  <si>
    <t>Lợi ích của cổ đông thiểu số và cổ tức ưu đãi</t>
  </si>
  <si>
    <t>LNST sau khi điều chỉnh Lợi ích của CĐTS và Cổ tức ưu đãi</t>
  </si>
  <si>
    <t>I. Lưu chuyển tiền từ hoạt động kinh doanh</t>
  </si>
  <si>
    <t>- Thu nhập lãi và các khoản thu nhập tương tự nhận được</t>
  </si>
  <si>
    <t>- Chi phí lãi và các chi phí tương tự đã trả</t>
  </si>
  <si>
    <t>- Thu nhập từ hoạt động dịch vụ nhận được</t>
  </si>
  <si>
    <t>- Chênh lệch số tiền thực thu/ thực chi từ hoạt động kinh doanh (ngoại tệ, vàng bạc, chứng khoán)</t>
  </si>
  <si>
    <t>- Thu nhập khác</t>
  </si>
  <si>
    <t>- Tiền thu các khoản nợ đã được xử lý xóa, bù đắp bằng nguồn rủi ro</t>
  </si>
  <si>
    <t>- Tiền chi trả cho nhân viên và hoạt động quản lý, công vụ</t>
  </si>
  <si>
    <t>- Tiền thuế thu nhập thực nộp trong kỳ</t>
  </si>
  <si>
    <t>Lưu chuyển tiền thuần từ hoạt động kinh doanh trước những thay đổi về tài sản và vốn lưu động</t>
  </si>
  <si>
    <t>1. Những thay đổi về tài sản hoạt động</t>
  </si>
  <si>
    <t>- (Tăng)/Giảm các khoản tiền, vàng gửi và cho vay các TCTD khác</t>
  </si>
  <si>
    <t>- (Tăng)/Giảm các khoản về kinh doanh chứng khoán</t>
  </si>
  <si>
    <t>- (Tăng)/Giảm các công cụ tài chính phái sinh và các tài sản tài chính khác</t>
  </si>
  <si>
    <t>- (Tăng)/Giảm các khoản cho vay khách hàng</t>
  </si>
  <si>
    <t>- (Tăng)/Giảm nguồn dự phòng để bù bắp tổn thất các khoản</t>
  </si>
  <si>
    <t>- (Tăng)/Giảm khác về tài sản hoạt động</t>
  </si>
  <si>
    <t>2. Những thay đổi về công nợ hoạt động</t>
  </si>
  <si>
    <t>- Tăng/(Giảm) các khoản nợ chính phủ và NHNN</t>
  </si>
  <si>
    <t>- Tăng/(Giảm) các khoản tiền gửi, tiền vay các TCTD</t>
  </si>
  <si>
    <t>- Tăng/(Giảm) tiền gửi của khách hàng</t>
  </si>
  <si>
    <t>- Tăng/(Giảm) phát hành giấy tờ có giá</t>
  </si>
  <si>
    <t>- Tăng/(Giảm) vốn tài trợ, ủy thác đầu tư, cho vay mà TCTD chịu rủi ro</t>
  </si>
  <si>
    <t>- Tăng/(Giảm) các công cụ tài chính phái sinh và các khoản nợ tài chính khác</t>
  </si>
  <si>
    <t>- Tăng/(Giảm) khác về công nợ hoạt động</t>
  </si>
  <si>
    <t>- Chi từ các quỹ của TCTD</t>
  </si>
  <si>
    <t>Lưu chuyển tiền thuần từ hoạt động kinh doanh</t>
  </si>
  <si>
    <t>II. Lưu chuyển tiền từ hoạt động đầu tư</t>
  </si>
  <si>
    <t>- Tiền giảm do bán công ty con</t>
  </si>
  <si>
    <t>- Mua sắm TSCĐ</t>
  </si>
  <si>
    <t>- Tiền thu từ thanh lý, nhượng bán TSCĐ</t>
  </si>
  <si>
    <t>- Tiền chi từ thanh lý, nhượng bán TSCĐ</t>
  </si>
  <si>
    <t>- Mua sắm bất động sản đầu tư</t>
  </si>
  <si>
    <t>- Tiền thu từ bán, thanh lý bất động sản đầu tư</t>
  </si>
  <si>
    <t>- Tiền chi ra do bán, thanh lý bất động sản đầu tư</t>
  </si>
  <si>
    <t>- Tiền chi đầu tư, góp vốn vào các đơn vị khác</t>
  </si>
  <si>
    <t>- Tiền thu đầu tư, góp vốn vào các đơn vị khác</t>
  </si>
  <si>
    <t>- Tiền thu cổ tức và lợi nhuận được chia từ các khoản đầu tư, góp vốn dài hạn</t>
  </si>
  <si>
    <t>Lưu chuyển tiền thuần từ hoạt động đầu tư</t>
  </si>
  <si>
    <t>III. Lưu chuyển tiền từ hoạt động tài chính</t>
  </si>
  <si>
    <t>- Tăng vốn cổ phần từ góp vốn và phát hành cổ phiếu</t>
  </si>
  <si>
    <t>- Tiền thu từ phát hành giấy tờ có giá dài hạn có đủ điều kiện tính vào vốn tự có và các khoản vốn vay dài hạn khác</t>
  </si>
  <si>
    <t>- Tiền chi thanh toán giấy tờ có giá dài hạn có đủ điều kiện tính vào vốn tự có và các khoản vốn vay dài hạn khác</t>
  </si>
  <si>
    <t>- Cổ tức trả cho cổ đông, lợi nhuận đã chia</t>
  </si>
  <si>
    <t>- Tiền chi ra mua cổ phiếu ngân quỹ</t>
  </si>
  <si>
    <t>- Tiền thu được do bán cổ phiếu ngân quỹ</t>
  </si>
  <si>
    <t>Lưu chuyển tiền từ hoạt động tài chính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</si>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</sst>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Alignment="1">
      <alignment horizontal="right" vertical="center" wrapText="1"/>
    </xf>
    <xf numFmtId="0" fontId="2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left" wrapText="1" indent="7"/>
    </xf>
    <xf numFmtId="3" fontId="1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left" wrapText="1" indent="4"/>
    </xf>
    <xf numFmtId="0" fontId="2" fillId="0" borderId="0" xfId="0" applyFont="1" applyFill="1" applyAlignment="1">
      <alignment horizontal="left" wrapText="1" indent="9"/>
    </xf>
    <xf numFmtId="3" fontId="2" fillId="0" borderId="0" xfId="0" applyNumberFormat="1" applyFont="1" applyFill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left" wrapText="1" indent="6"/>
    </xf>
    <xf numFmtId="0" fontId="2" fillId="0" borderId="0" xfId="0" applyFont="1" applyFill="1" applyAlignment="1">
      <alignment horizontal="left" wrapText="1" indent="11"/>
    </xf>
    <xf numFmtId="0" fontId="1" fillId="0" borderId="0" xfId="0" applyFont="1" applyFill="1" applyAlignment="1">
      <alignment horizontal="left" wrapText="1" indent="3"/>
    </xf>
    <xf numFmtId="3" fontId="1" fillId="0" borderId="0" xfId="0" applyNumberFormat="1" applyFont="1"/>
    <xf numFmtId="3" fontId="1" fillId="0" borderId="0" xfId="0" applyNumberFormat="1" applyFont="1" applyFill="1"/>
    <xf numFmtId="0" fontId="1" fillId="0" borderId="0" xfId="0" applyNumberFormat="1" applyFont="1" applyFill="1" applyAlignment="1">
      <alignment horizontal="right" wrapText="1"/>
    </xf>
    <xf numFmtId="0" fontId="2" fillId="0" borderId="0" xfId="0" applyNumberFormat="1" applyFont="1" applyFill="1" applyAlignment="1">
      <alignment horizontal="right" wrapText="1"/>
    </xf>
    <xf numFmtId="3" fontId="2" fillId="0" borderId="0" xfId="0" applyNumberFormat="1" applyFont="1" applyFill="1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6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L6" sqref="L6"/>
    </sheetView>
  </sheetViews>
  <sheetFormatPr defaultColWidth="4.25" defaultRowHeight="15" x14ac:dyDescent="0.25"/>
  <cols>
    <col min="1" max="1" width="83.625" style="2" bestFit="1" customWidth="1"/>
    <col min="2" max="6" width="11.625" style="2" hidden="1" customWidth="1"/>
    <col min="7" max="7" width="12.75" style="2" hidden="1" customWidth="1"/>
    <col min="8" max="48" width="12.75" style="2" bestFit="1" customWidth="1"/>
    <col min="49" max="49" width="14.75" style="2" bestFit="1" customWidth="1"/>
    <col min="50" max="16384" width="4.25" style="2"/>
  </cols>
  <sheetData>
    <row r="1" spans="1:4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</row>
    <row r="2" spans="1:49" x14ac:dyDescent="0.25">
      <c r="A2" s="3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x14ac:dyDescent="0.25">
      <c r="A3" s="5" t="s">
        <v>6</v>
      </c>
      <c r="B3" s="6">
        <v>799106</v>
      </c>
      <c r="C3" s="6">
        <v>1276719</v>
      </c>
      <c r="D3" s="6">
        <v>807468</v>
      </c>
      <c r="E3" s="6">
        <v>632025</v>
      </c>
      <c r="F3" s="6">
        <v>818918</v>
      </c>
      <c r="G3" s="6">
        <v>1472407</v>
      </c>
      <c r="H3" s="6">
        <v>1392843</v>
      </c>
      <c r="I3" s="6">
        <v>1569671</v>
      </c>
      <c r="J3" s="6">
        <v>1376202</v>
      </c>
      <c r="K3" s="6">
        <v>1636010</v>
      </c>
      <c r="L3" s="6">
        <v>1409281</v>
      </c>
      <c r="M3" s="6">
        <v>1361279</v>
      </c>
      <c r="N3" s="6">
        <v>1272228</v>
      </c>
      <c r="O3" s="6">
        <v>1511629</v>
      </c>
      <c r="P3" s="6">
        <v>1649501</v>
      </c>
      <c r="Q3" s="6">
        <v>2151586</v>
      </c>
      <c r="R3" s="6">
        <v>1828908</v>
      </c>
      <c r="S3" s="6">
        <v>2096395</v>
      </c>
      <c r="T3" s="6">
        <v>1997844</v>
      </c>
      <c r="U3" s="6">
        <v>1949797</v>
      </c>
      <c r="V3" s="6">
        <v>2039463</v>
      </c>
      <c r="W3" s="6">
        <v>2004563</v>
      </c>
      <c r="X3" s="6">
        <v>1892955</v>
      </c>
      <c r="Y3" s="6">
        <v>2298266</v>
      </c>
      <c r="Z3" s="6">
        <v>2123658</v>
      </c>
      <c r="AA3" s="6">
        <v>2257255</v>
      </c>
      <c r="AB3" s="6">
        <v>2351092</v>
      </c>
      <c r="AC3" s="6">
        <v>2194774</v>
      </c>
      <c r="AD3" s="6">
        <v>1940895</v>
      </c>
      <c r="AE3" s="6">
        <v>2445611</v>
      </c>
      <c r="AF3" s="6">
        <v>2627817</v>
      </c>
      <c r="AG3" s="6">
        <v>2709876</v>
      </c>
      <c r="AH3" s="6">
        <v>2596855</v>
      </c>
      <c r="AI3" s="6">
        <v>2937994</v>
      </c>
      <c r="AJ3" s="6">
        <v>2691430</v>
      </c>
      <c r="AK3" s="6">
        <v>2902517</v>
      </c>
      <c r="AL3" s="6">
        <v>2765559</v>
      </c>
      <c r="AM3" s="6">
        <v>2810044</v>
      </c>
      <c r="AN3" s="6">
        <v>2891213</v>
      </c>
      <c r="AO3" s="6">
        <v>3102598</v>
      </c>
      <c r="AP3" s="6">
        <v>3127639</v>
      </c>
      <c r="AQ3" s="6">
        <v>3105355</v>
      </c>
      <c r="AR3" s="6">
        <v>3597997</v>
      </c>
      <c r="AS3" s="6">
        <v>3944656</v>
      </c>
      <c r="AT3" s="6">
        <v>3679667</v>
      </c>
      <c r="AU3" s="6">
        <v>4126643</v>
      </c>
      <c r="AV3" s="6">
        <v>4870562</v>
      </c>
      <c r="AW3" s="6">
        <v>3399488</v>
      </c>
    </row>
    <row r="4" spans="1:49" x14ac:dyDescent="0.25">
      <c r="A4" s="5" t="s">
        <v>7</v>
      </c>
      <c r="B4" s="6">
        <v>736099</v>
      </c>
      <c r="C4" s="6">
        <v>1410216</v>
      </c>
      <c r="D4" s="6">
        <v>701234</v>
      </c>
      <c r="E4" s="6">
        <v>1595174</v>
      </c>
      <c r="F4" s="6">
        <v>2408922</v>
      </c>
      <c r="G4" s="6">
        <v>2742385</v>
      </c>
      <c r="H4" s="6">
        <v>946400</v>
      </c>
      <c r="I4" s="6">
        <v>1532113</v>
      </c>
      <c r="J4" s="6">
        <v>2244384</v>
      </c>
      <c r="K4" s="6">
        <v>2389302</v>
      </c>
      <c r="L4" s="6">
        <v>1328926</v>
      </c>
      <c r="M4" s="6">
        <v>5583069</v>
      </c>
      <c r="N4" s="6">
        <v>2330443</v>
      </c>
      <c r="O4" s="6">
        <v>1922256</v>
      </c>
      <c r="P4" s="6">
        <v>2269185</v>
      </c>
      <c r="Q4" s="6">
        <v>3309444</v>
      </c>
      <c r="R4" s="6">
        <v>2418896</v>
      </c>
      <c r="S4" s="6">
        <v>5385604</v>
      </c>
      <c r="T4" s="6">
        <v>3416086</v>
      </c>
      <c r="U4" s="6">
        <v>1724662</v>
      </c>
      <c r="V4" s="6">
        <v>6403131</v>
      </c>
      <c r="W4" s="6">
        <v>4503540</v>
      </c>
      <c r="X4" s="6">
        <v>1891534</v>
      </c>
      <c r="Y4" s="6">
        <v>3185578</v>
      </c>
      <c r="Z4" s="6">
        <v>4661966</v>
      </c>
      <c r="AA4" s="6">
        <v>7788112</v>
      </c>
      <c r="AB4" s="6">
        <v>6209185</v>
      </c>
      <c r="AC4" s="6">
        <v>9633778</v>
      </c>
      <c r="AD4" s="6">
        <v>8949735</v>
      </c>
      <c r="AE4" s="6">
        <v>11847980</v>
      </c>
      <c r="AF4" s="6">
        <v>9808491</v>
      </c>
      <c r="AG4" s="6">
        <v>11127254</v>
      </c>
      <c r="AH4" s="6">
        <v>9869836</v>
      </c>
      <c r="AI4" s="6">
        <v>11273345</v>
      </c>
      <c r="AJ4" s="6">
        <v>12162272</v>
      </c>
      <c r="AK4" s="6">
        <v>14769196</v>
      </c>
      <c r="AL4" s="6">
        <v>31970237</v>
      </c>
      <c r="AM4" s="6">
        <v>41481638</v>
      </c>
      <c r="AN4" s="6">
        <v>22525499</v>
      </c>
      <c r="AO4" s="6">
        <v>22236514</v>
      </c>
      <c r="AP4" s="6">
        <v>29410506</v>
      </c>
      <c r="AQ4" s="6">
        <v>26680270</v>
      </c>
      <c r="AR4" s="6">
        <v>18197837</v>
      </c>
      <c r="AS4" s="6">
        <v>9728909</v>
      </c>
      <c r="AT4" s="6">
        <v>24751052</v>
      </c>
      <c r="AU4" s="6">
        <v>59907114</v>
      </c>
      <c r="AV4" s="6">
        <v>27816249</v>
      </c>
      <c r="AW4" s="6">
        <v>48994133</v>
      </c>
    </row>
    <row r="5" spans="1:49" x14ac:dyDescent="0.25">
      <c r="A5" s="5" t="s">
        <v>8</v>
      </c>
      <c r="B5" s="4"/>
      <c r="C5" s="4"/>
      <c r="D5" s="4"/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x14ac:dyDescent="0.25">
      <c r="A6" s="7" t="s">
        <v>9</v>
      </c>
      <c r="B6" s="6">
        <v>8550236</v>
      </c>
      <c r="C6" s="6">
        <v>9129450</v>
      </c>
      <c r="D6" s="6">
        <v>7376464</v>
      </c>
      <c r="E6" s="6">
        <v>11340653</v>
      </c>
      <c r="F6" s="6">
        <v>16834982</v>
      </c>
      <c r="G6" s="6">
        <v>11994220</v>
      </c>
      <c r="H6" s="6">
        <v>15502467</v>
      </c>
      <c r="I6" s="6">
        <v>14718584</v>
      </c>
      <c r="J6" s="6">
        <v>16047689</v>
      </c>
      <c r="K6" s="6">
        <v>18580047</v>
      </c>
      <c r="L6" s="6">
        <v>24105563</v>
      </c>
      <c r="M6" s="6">
        <v>22723038</v>
      </c>
      <c r="N6" s="6">
        <v>20772785</v>
      </c>
      <c r="O6" s="6">
        <v>21861168</v>
      </c>
      <c r="P6" s="6">
        <v>19681403</v>
      </c>
      <c r="Q6" s="6">
        <v>23538842</v>
      </c>
      <c r="R6" s="6">
        <v>23317555</v>
      </c>
      <c r="S6" s="6">
        <v>32425544</v>
      </c>
      <c r="T6" s="6">
        <v>19600096</v>
      </c>
      <c r="U6" s="6">
        <v>21501935</v>
      </c>
      <c r="V6" s="6">
        <v>21531562</v>
      </c>
      <c r="W6" s="6">
        <v>24664877</v>
      </c>
      <c r="X6" s="6">
        <v>18920348</v>
      </c>
      <c r="Y6" s="6">
        <v>23330471</v>
      </c>
      <c r="Z6" s="6">
        <v>32765417</v>
      </c>
      <c r="AA6" s="6">
        <v>44810934</v>
      </c>
      <c r="AB6" s="6">
        <v>50447584</v>
      </c>
      <c r="AC6" s="6">
        <v>44824126</v>
      </c>
      <c r="AD6" s="6">
        <v>52371403</v>
      </c>
      <c r="AE6" s="6">
        <v>55942644</v>
      </c>
      <c r="AF6" s="6">
        <v>49371645</v>
      </c>
      <c r="AG6" s="6">
        <v>41470126</v>
      </c>
      <c r="AH6" s="6">
        <v>50666808</v>
      </c>
      <c r="AI6" s="6">
        <v>49132317</v>
      </c>
      <c r="AJ6" s="6">
        <v>56768627</v>
      </c>
      <c r="AK6" s="6">
        <v>87190858</v>
      </c>
      <c r="AL6" s="6">
        <v>55427300</v>
      </c>
      <c r="AM6" s="6">
        <v>96514863</v>
      </c>
      <c r="AN6" s="6">
        <v>87659830</v>
      </c>
      <c r="AO6" s="6">
        <v>83923363</v>
      </c>
      <c r="AP6" s="6">
        <v>98656083</v>
      </c>
      <c r="AQ6" s="6">
        <v>101600254</v>
      </c>
      <c r="AR6" s="6">
        <v>126666260</v>
      </c>
      <c r="AS6" s="6">
        <v>132104675</v>
      </c>
      <c r="AT6" s="6">
        <v>153845277</v>
      </c>
      <c r="AU6" s="6">
        <v>184262209</v>
      </c>
      <c r="AV6" s="6">
        <v>203790573</v>
      </c>
      <c r="AW6" s="6">
        <v>150585067</v>
      </c>
    </row>
    <row r="7" spans="1:49" x14ac:dyDescent="0.25">
      <c r="A7" s="8" t="s">
        <v>10</v>
      </c>
      <c r="B7" s="9">
        <v>8550236</v>
      </c>
      <c r="C7" s="9">
        <v>9129450</v>
      </c>
      <c r="D7" s="9">
        <v>4376464</v>
      </c>
      <c r="E7" s="9">
        <v>5988410</v>
      </c>
      <c r="F7" s="9">
        <v>9922400</v>
      </c>
      <c r="G7" s="9">
        <v>6779815</v>
      </c>
      <c r="H7" s="9">
        <v>12119187</v>
      </c>
      <c r="I7" s="9">
        <v>9261093</v>
      </c>
      <c r="J7" s="9">
        <v>12095149</v>
      </c>
      <c r="K7" s="9">
        <v>15971314</v>
      </c>
      <c r="L7" s="9">
        <v>22585700</v>
      </c>
      <c r="M7" s="9">
        <v>20324082</v>
      </c>
      <c r="N7" s="9">
        <v>19180857</v>
      </c>
      <c r="O7" s="9">
        <v>19650607</v>
      </c>
      <c r="P7" s="9">
        <v>18813647</v>
      </c>
      <c r="Q7" s="9">
        <v>21583374</v>
      </c>
      <c r="R7" s="9">
        <v>20126654</v>
      </c>
      <c r="S7" s="9">
        <v>30695162</v>
      </c>
      <c r="T7" s="9">
        <v>18050096</v>
      </c>
      <c r="U7" s="9">
        <v>20001935</v>
      </c>
      <c r="V7" s="9">
        <v>20131562</v>
      </c>
      <c r="W7" s="9">
        <v>23854877</v>
      </c>
      <c r="X7" s="9">
        <v>18720348</v>
      </c>
      <c r="Y7" s="9">
        <v>23330471</v>
      </c>
      <c r="Z7" s="9">
        <v>32765417</v>
      </c>
      <c r="AA7" s="9">
        <v>44710934</v>
      </c>
      <c r="AB7" s="9">
        <v>49851459</v>
      </c>
      <c r="AC7" s="9">
        <v>44008716</v>
      </c>
      <c r="AD7" s="9">
        <v>52171403</v>
      </c>
      <c r="AE7" s="9">
        <v>55837298</v>
      </c>
      <c r="AF7" s="9">
        <v>49071645</v>
      </c>
      <c r="AG7" s="9">
        <v>40018840</v>
      </c>
      <c r="AH7" s="9">
        <v>47779476</v>
      </c>
      <c r="AI7" s="9">
        <v>40322487</v>
      </c>
      <c r="AJ7" s="9">
        <v>48238627</v>
      </c>
      <c r="AK7" s="9">
        <v>80287093</v>
      </c>
      <c r="AL7" s="9">
        <v>45369630</v>
      </c>
      <c r="AM7" s="9">
        <v>88120085</v>
      </c>
      <c r="AN7" s="9">
        <v>79329732</v>
      </c>
      <c r="AO7" s="9">
        <v>76457206</v>
      </c>
      <c r="AP7" s="9">
        <v>93378870</v>
      </c>
      <c r="AQ7" s="9">
        <v>94225901</v>
      </c>
      <c r="AR7" s="9">
        <v>117832526</v>
      </c>
      <c r="AS7" s="9">
        <v>124358309</v>
      </c>
      <c r="AT7" s="9">
        <v>140226645</v>
      </c>
      <c r="AU7" s="9">
        <v>156340825</v>
      </c>
      <c r="AV7" s="9">
        <v>188794908</v>
      </c>
      <c r="AW7" s="9">
        <v>139145152</v>
      </c>
    </row>
    <row r="8" spans="1:49" x14ac:dyDescent="0.25">
      <c r="A8" s="8" t="s">
        <v>11</v>
      </c>
      <c r="B8" s="10"/>
      <c r="C8" s="10"/>
      <c r="D8" s="9">
        <v>3000000</v>
      </c>
      <c r="E8" s="9">
        <v>5372058</v>
      </c>
      <c r="F8" s="9">
        <v>6919583</v>
      </c>
      <c r="G8" s="9">
        <v>5318025</v>
      </c>
      <c r="H8" s="9">
        <v>3389280</v>
      </c>
      <c r="I8" s="9">
        <v>5457491</v>
      </c>
      <c r="J8" s="9">
        <v>3952540</v>
      </c>
      <c r="K8" s="9">
        <v>2608733</v>
      </c>
      <c r="L8" s="9">
        <v>1519863</v>
      </c>
      <c r="M8" s="9">
        <v>2398956</v>
      </c>
      <c r="N8" s="9">
        <v>1591928</v>
      </c>
      <c r="O8" s="9">
        <v>2210561</v>
      </c>
      <c r="P8" s="9">
        <v>867756</v>
      </c>
      <c r="Q8" s="9">
        <v>1955468</v>
      </c>
      <c r="R8" s="9">
        <v>3190901</v>
      </c>
      <c r="S8" s="9">
        <v>1730382</v>
      </c>
      <c r="T8" s="9">
        <v>1550000</v>
      </c>
      <c r="U8" s="9">
        <v>1500000</v>
      </c>
      <c r="V8" s="9">
        <v>1400000</v>
      </c>
      <c r="W8" s="9">
        <v>810000</v>
      </c>
      <c r="X8" s="9">
        <v>200000</v>
      </c>
      <c r="Y8" s="10">
        <v>0</v>
      </c>
      <c r="Z8" s="10">
        <v>0</v>
      </c>
      <c r="AA8" s="9">
        <v>100000</v>
      </c>
      <c r="AB8" s="9">
        <v>596125</v>
      </c>
      <c r="AC8" s="9">
        <v>815410</v>
      </c>
      <c r="AD8" s="9">
        <v>200000</v>
      </c>
      <c r="AE8" s="9">
        <v>105346</v>
      </c>
      <c r="AF8" s="9">
        <v>300000</v>
      </c>
      <c r="AG8" s="9">
        <v>1451286</v>
      </c>
      <c r="AH8" s="9">
        <v>2887332</v>
      </c>
      <c r="AI8" s="9">
        <v>8809830</v>
      </c>
      <c r="AJ8" s="9">
        <v>8530000</v>
      </c>
      <c r="AK8" s="9">
        <v>6903765</v>
      </c>
      <c r="AL8" s="9">
        <v>10057670</v>
      </c>
      <c r="AM8" s="9">
        <v>8394778</v>
      </c>
      <c r="AN8" s="9">
        <v>8330098</v>
      </c>
      <c r="AO8" s="9">
        <v>7466157</v>
      </c>
      <c r="AP8" s="9">
        <v>5277213</v>
      </c>
      <c r="AQ8" s="9">
        <v>7374353</v>
      </c>
      <c r="AR8" s="9">
        <v>8833734</v>
      </c>
      <c r="AS8" s="9">
        <v>7746366</v>
      </c>
      <c r="AT8" s="9">
        <v>13618632</v>
      </c>
      <c r="AU8" s="9">
        <v>27921384</v>
      </c>
      <c r="AV8" s="9">
        <v>14995665</v>
      </c>
      <c r="AW8" s="9">
        <v>11439915</v>
      </c>
    </row>
    <row r="9" spans="1:49" x14ac:dyDescent="0.25">
      <c r="A9" s="8" t="s">
        <v>12</v>
      </c>
      <c r="B9" s="10"/>
      <c r="C9" s="10"/>
      <c r="D9" s="10"/>
      <c r="E9" s="9">
        <v>-19815</v>
      </c>
      <c r="F9" s="9">
        <v>-7001</v>
      </c>
      <c r="G9" s="9">
        <v>-103620</v>
      </c>
      <c r="H9" s="9">
        <v>-6000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x14ac:dyDescent="0.25">
      <c r="A10" s="7" t="s">
        <v>13</v>
      </c>
      <c r="B10" s="4"/>
      <c r="C10" s="4"/>
      <c r="D10" s="6">
        <v>207406</v>
      </c>
      <c r="E10" s="6">
        <v>667545</v>
      </c>
      <c r="F10" s="6">
        <v>936975</v>
      </c>
      <c r="G10" s="6">
        <v>916034</v>
      </c>
      <c r="H10" s="6">
        <v>985837</v>
      </c>
      <c r="I10" s="6">
        <v>916034</v>
      </c>
      <c r="J10" s="6">
        <v>452652</v>
      </c>
      <c r="K10" s="6">
        <v>396937</v>
      </c>
      <c r="L10" s="6">
        <v>705369</v>
      </c>
      <c r="M10" s="6">
        <v>397000</v>
      </c>
      <c r="N10" s="6">
        <v>642333</v>
      </c>
      <c r="O10" s="6">
        <v>4690398</v>
      </c>
      <c r="P10" s="6">
        <v>2850111</v>
      </c>
      <c r="Q10" s="6">
        <v>1889877</v>
      </c>
      <c r="R10" s="6">
        <v>2337487</v>
      </c>
      <c r="S10" s="6">
        <v>2596626</v>
      </c>
      <c r="T10" s="6">
        <v>1933944</v>
      </c>
      <c r="U10" s="6">
        <v>2091898</v>
      </c>
      <c r="V10" s="6">
        <v>1847534</v>
      </c>
      <c r="W10" s="6">
        <v>4643488</v>
      </c>
      <c r="X10" s="6">
        <v>4812614</v>
      </c>
      <c r="Y10" s="6">
        <v>3049574</v>
      </c>
      <c r="Z10" s="6">
        <v>9221967</v>
      </c>
      <c r="AA10" s="6">
        <v>12478102</v>
      </c>
      <c r="AB10" s="6">
        <v>10977154</v>
      </c>
      <c r="AC10" s="6">
        <v>10440600</v>
      </c>
      <c r="AD10" s="6">
        <v>12880397</v>
      </c>
      <c r="AE10" s="6">
        <v>11198067</v>
      </c>
      <c r="AF10" s="6">
        <v>10046933</v>
      </c>
      <c r="AG10" s="6">
        <v>3407027</v>
      </c>
      <c r="AH10" s="6">
        <v>2383237</v>
      </c>
      <c r="AI10" s="6">
        <v>1797822</v>
      </c>
      <c r="AJ10" s="6">
        <v>3867579</v>
      </c>
      <c r="AK10" s="6">
        <v>7305631</v>
      </c>
      <c r="AL10" s="6">
        <v>21599611</v>
      </c>
      <c r="AM10" s="6">
        <v>18580932</v>
      </c>
      <c r="AN10" s="6">
        <v>12929307</v>
      </c>
      <c r="AO10" s="6">
        <v>8606526</v>
      </c>
      <c r="AP10" s="6">
        <v>15274541</v>
      </c>
      <c r="AQ10" s="6">
        <v>21955775</v>
      </c>
      <c r="AR10" s="6">
        <v>14526258</v>
      </c>
      <c r="AS10" s="6">
        <v>2411264</v>
      </c>
      <c r="AT10" s="6">
        <v>549696</v>
      </c>
      <c r="AU10" s="6">
        <v>490537</v>
      </c>
      <c r="AV10" s="6">
        <v>2035304</v>
      </c>
      <c r="AW10" s="6">
        <v>10809309</v>
      </c>
    </row>
    <row r="11" spans="1:49" x14ac:dyDescent="0.25">
      <c r="A11" s="8" t="s">
        <v>14</v>
      </c>
      <c r="B11" s="10"/>
      <c r="C11" s="10"/>
      <c r="D11" s="9">
        <v>207406</v>
      </c>
      <c r="E11" s="9">
        <v>668466</v>
      </c>
      <c r="F11" s="9">
        <v>936975</v>
      </c>
      <c r="G11" s="9">
        <v>922956</v>
      </c>
      <c r="H11" s="9">
        <v>995176</v>
      </c>
      <c r="I11" s="9">
        <v>922956</v>
      </c>
      <c r="J11" s="9">
        <v>456046</v>
      </c>
      <c r="K11" s="9">
        <v>400000</v>
      </c>
      <c r="L11" s="9">
        <v>708369</v>
      </c>
      <c r="M11" s="9">
        <v>400000</v>
      </c>
      <c r="N11" s="9">
        <v>645333</v>
      </c>
      <c r="O11" s="9">
        <v>4693398</v>
      </c>
      <c r="P11" s="9">
        <v>2853111</v>
      </c>
      <c r="Q11" s="9">
        <v>1898619</v>
      </c>
      <c r="R11" s="9">
        <v>2342829</v>
      </c>
      <c r="S11" s="9">
        <v>2603376</v>
      </c>
      <c r="T11" s="9">
        <v>1936944</v>
      </c>
      <c r="U11" s="9">
        <v>2097898</v>
      </c>
      <c r="V11" s="9">
        <v>1853534</v>
      </c>
      <c r="W11" s="9">
        <v>4650988</v>
      </c>
      <c r="X11" s="9">
        <v>4816174</v>
      </c>
      <c r="Y11" s="9">
        <v>3071272</v>
      </c>
      <c r="Z11" s="9">
        <v>9243665</v>
      </c>
      <c r="AA11" s="9">
        <v>12478245</v>
      </c>
      <c r="AB11" s="9">
        <v>10977297</v>
      </c>
      <c r="AC11" s="9">
        <v>10443805</v>
      </c>
      <c r="AD11" s="9">
        <v>12883602</v>
      </c>
      <c r="AE11" s="9">
        <v>11200948</v>
      </c>
      <c r="AF11" s="9">
        <v>10049814</v>
      </c>
      <c r="AG11" s="9">
        <v>3409908</v>
      </c>
      <c r="AH11" s="9">
        <v>2386118</v>
      </c>
      <c r="AI11" s="9">
        <v>1797822</v>
      </c>
      <c r="AJ11" s="9">
        <v>3867579</v>
      </c>
      <c r="AK11" s="9">
        <v>7305631</v>
      </c>
      <c r="AL11" s="9">
        <v>21599611</v>
      </c>
      <c r="AM11" s="9">
        <v>18580932</v>
      </c>
      <c r="AN11" s="9">
        <v>12929307</v>
      </c>
      <c r="AO11" s="9">
        <v>8606526</v>
      </c>
      <c r="AP11" s="9">
        <v>15274541</v>
      </c>
      <c r="AQ11" s="9">
        <v>21955775</v>
      </c>
      <c r="AR11" s="9">
        <v>14526258</v>
      </c>
      <c r="AS11" s="9">
        <v>2411264</v>
      </c>
      <c r="AT11" s="9">
        <v>549696</v>
      </c>
      <c r="AU11" s="9">
        <v>490537</v>
      </c>
      <c r="AV11" s="9">
        <v>2035304</v>
      </c>
      <c r="AW11" s="9">
        <v>10988071</v>
      </c>
    </row>
    <row r="12" spans="1:49" x14ac:dyDescent="0.25">
      <c r="A12" s="8" t="s">
        <v>15</v>
      </c>
      <c r="B12" s="10"/>
      <c r="C12" s="10"/>
      <c r="D12" s="10"/>
      <c r="E12" s="10">
        <v>-921</v>
      </c>
      <c r="F12" s="10">
        <v>0</v>
      </c>
      <c r="G12" s="9">
        <v>-6922</v>
      </c>
      <c r="H12" s="9">
        <v>-9339</v>
      </c>
      <c r="I12" s="9">
        <v>-6922</v>
      </c>
      <c r="J12" s="9">
        <v>-3394</v>
      </c>
      <c r="K12" s="9">
        <v>-3063</v>
      </c>
      <c r="L12" s="9">
        <v>-3000</v>
      </c>
      <c r="M12" s="9">
        <v>-3000</v>
      </c>
      <c r="N12" s="9">
        <v>-3000</v>
      </c>
      <c r="O12" s="9">
        <v>-3000</v>
      </c>
      <c r="P12" s="9">
        <v>-3000</v>
      </c>
      <c r="Q12" s="9">
        <v>-8742</v>
      </c>
      <c r="R12" s="9">
        <v>-5342</v>
      </c>
      <c r="S12" s="9">
        <v>-6750</v>
      </c>
      <c r="T12" s="9">
        <v>-3000</v>
      </c>
      <c r="U12" s="9">
        <v>-6000</v>
      </c>
      <c r="V12" s="9">
        <v>-6000</v>
      </c>
      <c r="W12" s="9">
        <v>-7500</v>
      </c>
      <c r="X12" s="9">
        <v>-3560</v>
      </c>
      <c r="Y12" s="9">
        <v>-21698</v>
      </c>
      <c r="Z12" s="9">
        <v>-21698</v>
      </c>
      <c r="AA12" s="10">
        <v>-143</v>
      </c>
      <c r="AB12" s="10">
        <v>-143</v>
      </c>
      <c r="AC12" s="9">
        <v>-3205</v>
      </c>
      <c r="AD12" s="9">
        <v>-3205</v>
      </c>
      <c r="AE12" s="9">
        <v>-2881</v>
      </c>
      <c r="AF12" s="9">
        <v>-2881</v>
      </c>
      <c r="AG12" s="9">
        <v>-2881</v>
      </c>
      <c r="AH12" s="9">
        <v>-2881</v>
      </c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9">
        <v>-178762</v>
      </c>
    </row>
    <row r="13" spans="1:49" x14ac:dyDescent="0.25">
      <c r="A13" s="5" t="s">
        <v>16</v>
      </c>
      <c r="B13" s="4">
        <v>859</v>
      </c>
      <c r="C13" s="4"/>
      <c r="D13" s="4">
        <v>360</v>
      </c>
      <c r="E13" s="6">
        <v>1848</v>
      </c>
      <c r="F13" s="6">
        <v>3502</v>
      </c>
      <c r="G13" s="6">
        <v>39044</v>
      </c>
      <c r="H13" s="4">
        <v>697</v>
      </c>
      <c r="I13" s="6">
        <v>103963</v>
      </c>
      <c r="J13" s="6">
        <v>1545</v>
      </c>
      <c r="K13" s="4">
        <v>0</v>
      </c>
      <c r="L13" s="6">
        <v>51505</v>
      </c>
      <c r="M13" s="4">
        <v>0</v>
      </c>
      <c r="N13" s="6">
        <v>98303</v>
      </c>
      <c r="O13" s="4">
        <v>0</v>
      </c>
      <c r="P13" s="6">
        <v>28122</v>
      </c>
      <c r="Q13" s="6">
        <v>13401</v>
      </c>
      <c r="R13" s="6">
        <v>11337</v>
      </c>
      <c r="S13" s="6">
        <v>208294</v>
      </c>
      <c r="T13" s="4">
        <v>0</v>
      </c>
      <c r="U13" s="4">
        <v>0</v>
      </c>
      <c r="V13" s="6">
        <v>1650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6">
        <v>85426</v>
      </c>
      <c r="AC13" s="6">
        <v>56611</v>
      </c>
      <c r="AD13" s="6">
        <v>48528</v>
      </c>
      <c r="AE13" s="4"/>
      <c r="AF13" s="4"/>
      <c r="AG13" s="6">
        <v>16070</v>
      </c>
      <c r="AH13" s="4"/>
      <c r="AI13" s="4"/>
      <c r="AJ13" s="4"/>
      <c r="AK13" s="6">
        <v>205729</v>
      </c>
      <c r="AL13" s="4"/>
      <c r="AM13" s="6">
        <v>110079</v>
      </c>
      <c r="AN13" s="6">
        <v>124577</v>
      </c>
      <c r="AO13" s="6">
        <v>381092</v>
      </c>
      <c r="AP13" s="4"/>
      <c r="AQ13" s="4"/>
      <c r="AR13" s="4"/>
      <c r="AS13" s="6">
        <v>40229</v>
      </c>
      <c r="AT13" s="6">
        <v>148153</v>
      </c>
      <c r="AU13" s="4"/>
      <c r="AV13" s="6">
        <v>111102</v>
      </c>
      <c r="AW13" s="6">
        <v>420999</v>
      </c>
    </row>
    <row r="14" spans="1:49" x14ac:dyDescent="0.25">
      <c r="A14" s="7" t="s">
        <v>17</v>
      </c>
      <c r="B14" s="6">
        <v>11643356</v>
      </c>
      <c r="C14" s="6">
        <v>13707101</v>
      </c>
      <c r="D14" s="6">
        <v>20952361</v>
      </c>
      <c r="E14" s="6">
        <v>43332981</v>
      </c>
      <c r="F14" s="6">
        <v>41508986</v>
      </c>
      <c r="G14" s="6">
        <v>55853240</v>
      </c>
      <c r="H14" s="6">
        <v>65555709</v>
      </c>
      <c r="I14" s="6">
        <v>70815074</v>
      </c>
      <c r="J14" s="6">
        <v>73448682</v>
      </c>
      <c r="K14" s="6">
        <v>81303975</v>
      </c>
      <c r="L14" s="6">
        <v>87142559</v>
      </c>
      <c r="M14" s="6">
        <v>95875982</v>
      </c>
      <c r="N14" s="6">
        <v>95489766</v>
      </c>
      <c r="O14" s="6">
        <v>103336328</v>
      </c>
      <c r="P14" s="6">
        <v>114673489</v>
      </c>
      <c r="Q14" s="6">
        <v>118965247</v>
      </c>
      <c r="R14" s="6">
        <v>119572248</v>
      </c>
      <c r="S14" s="6">
        <v>121791723</v>
      </c>
      <c r="T14" s="6">
        <v>127556296</v>
      </c>
      <c r="U14" s="6">
        <v>136295829</v>
      </c>
      <c r="V14" s="6">
        <v>138631393</v>
      </c>
      <c r="W14" s="6">
        <v>144699636</v>
      </c>
      <c r="X14" s="6">
        <v>150733323</v>
      </c>
      <c r="Y14" s="6">
        <v>158574053</v>
      </c>
      <c r="Z14" s="6">
        <v>162533281</v>
      </c>
      <c r="AA14" s="6">
        <v>176387656</v>
      </c>
      <c r="AB14" s="6">
        <v>185334408</v>
      </c>
      <c r="AC14" s="6">
        <v>189796578</v>
      </c>
      <c r="AD14" s="6">
        <v>189346267</v>
      </c>
      <c r="AE14" s="6">
        <v>200758833</v>
      </c>
      <c r="AF14" s="6">
        <v>222466108</v>
      </c>
      <c r="AG14" s="6">
        <v>234742051</v>
      </c>
      <c r="AH14" s="6">
        <v>243426139</v>
      </c>
      <c r="AI14" s="6">
        <v>260754811</v>
      </c>
      <c r="AJ14" s="6">
        <v>285239105</v>
      </c>
      <c r="AK14" s="6">
        <v>283565064</v>
      </c>
      <c r="AL14" s="6">
        <v>288136806</v>
      </c>
      <c r="AM14" s="6">
        <v>339349838</v>
      </c>
      <c r="AN14" s="6">
        <v>358835149</v>
      </c>
      <c r="AO14" s="6">
        <v>381419719</v>
      </c>
      <c r="AP14" s="6">
        <v>393739706</v>
      </c>
      <c r="AQ14" s="6">
        <v>436606237</v>
      </c>
      <c r="AR14" s="6">
        <v>440468264</v>
      </c>
      <c r="AS14" s="6">
        <v>502451955</v>
      </c>
      <c r="AT14" s="6">
        <v>482446820</v>
      </c>
      <c r="AU14" s="6">
        <v>539068773</v>
      </c>
      <c r="AV14" s="6">
        <v>593322802</v>
      </c>
      <c r="AW14" s="6">
        <v>649803170</v>
      </c>
    </row>
    <row r="15" spans="1:49" x14ac:dyDescent="0.25">
      <c r="A15" s="8" t="s">
        <v>18</v>
      </c>
      <c r="B15" s="9">
        <v>11728193</v>
      </c>
      <c r="C15" s="9">
        <v>13847786</v>
      </c>
      <c r="D15" s="9">
        <v>21147825</v>
      </c>
      <c r="E15" s="9">
        <v>44030492</v>
      </c>
      <c r="F15" s="9">
        <v>41992591</v>
      </c>
      <c r="G15" s="9">
        <v>56558835</v>
      </c>
      <c r="H15" s="9">
        <v>66342898</v>
      </c>
      <c r="I15" s="9">
        <v>71779198</v>
      </c>
      <c r="J15" s="9">
        <v>74500897</v>
      </c>
      <c r="K15" s="9">
        <v>82224372</v>
      </c>
      <c r="L15" s="9">
        <v>88116321</v>
      </c>
      <c r="M15" s="9">
        <v>96945442</v>
      </c>
      <c r="N15" s="9">
        <v>96612423</v>
      </c>
      <c r="O15" s="9">
        <v>104497027</v>
      </c>
      <c r="P15" s="9">
        <v>115886169</v>
      </c>
      <c r="Q15" s="9">
        <v>120338093</v>
      </c>
      <c r="R15" s="9">
        <v>120892934</v>
      </c>
      <c r="S15" s="9">
        <v>123131648</v>
      </c>
      <c r="T15" s="9">
        <v>128936571</v>
      </c>
      <c r="U15" s="9">
        <v>137781337</v>
      </c>
      <c r="V15" s="9">
        <v>140167685</v>
      </c>
      <c r="W15" s="9">
        <v>146324378</v>
      </c>
      <c r="X15" s="9">
        <v>152405077</v>
      </c>
      <c r="Y15" s="9">
        <v>160371930</v>
      </c>
      <c r="Z15" s="9">
        <v>164462771</v>
      </c>
      <c r="AA15" s="9">
        <v>178323092</v>
      </c>
      <c r="AB15" s="9">
        <v>187279481</v>
      </c>
      <c r="AC15" s="9">
        <v>191841072</v>
      </c>
      <c r="AD15" s="9">
        <v>191514813</v>
      </c>
      <c r="AE15" s="9">
        <v>203210901</v>
      </c>
      <c r="AF15" s="9">
        <v>225153895</v>
      </c>
      <c r="AG15" s="9">
        <v>237688422</v>
      </c>
      <c r="AH15" s="9">
        <v>246497884</v>
      </c>
      <c r="AI15" s="9">
        <v>263856383</v>
      </c>
      <c r="AJ15" s="9">
        <v>288528712</v>
      </c>
      <c r="AK15" s="9">
        <v>287355418</v>
      </c>
      <c r="AL15" s="9">
        <v>291716649</v>
      </c>
      <c r="AM15" s="9">
        <v>343404295</v>
      </c>
      <c r="AN15" s="9">
        <v>363449382</v>
      </c>
      <c r="AO15" s="9">
        <v>386186737</v>
      </c>
      <c r="AP15" s="9">
        <v>398724457</v>
      </c>
      <c r="AQ15" s="9">
        <v>442484841</v>
      </c>
      <c r="AR15" s="9">
        <v>446106052</v>
      </c>
      <c r="AS15" s="9">
        <v>508548842</v>
      </c>
      <c r="AT15" s="9">
        <v>488594897</v>
      </c>
      <c r="AU15" s="9">
        <v>546370779</v>
      </c>
      <c r="AV15" s="9">
        <v>601140427</v>
      </c>
      <c r="AW15" s="9">
        <v>659000255</v>
      </c>
    </row>
    <row r="16" spans="1:49" x14ac:dyDescent="0.25">
      <c r="A16" s="8" t="s">
        <v>19</v>
      </c>
      <c r="B16" s="9">
        <v>-84837</v>
      </c>
      <c r="C16" s="9">
        <v>-140685</v>
      </c>
      <c r="D16" s="9">
        <v>-195464</v>
      </c>
      <c r="E16" s="9">
        <v>-697511</v>
      </c>
      <c r="F16" s="9">
        <v>-483605</v>
      </c>
      <c r="G16" s="9">
        <v>-705595</v>
      </c>
      <c r="H16" s="9">
        <v>-787189</v>
      </c>
      <c r="I16" s="9">
        <v>-964124</v>
      </c>
      <c r="J16" s="9">
        <v>-1052215</v>
      </c>
      <c r="K16" s="9">
        <v>-920397</v>
      </c>
      <c r="L16" s="9">
        <v>-973762</v>
      </c>
      <c r="M16" s="9">
        <v>-1069460</v>
      </c>
      <c r="N16" s="9">
        <v>-1122657</v>
      </c>
      <c r="O16" s="9">
        <v>-1160699</v>
      </c>
      <c r="P16" s="9">
        <v>-1212680</v>
      </c>
      <c r="Q16" s="9">
        <v>-1372846</v>
      </c>
      <c r="R16" s="9">
        <v>-1320686</v>
      </c>
      <c r="S16" s="9">
        <v>-1339925</v>
      </c>
      <c r="T16" s="9">
        <v>-1380275</v>
      </c>
      <c r="U16" s="9">
        <v>-1485508</v>
      </c>
      <c r="V16" s="9">
        <v>-1536292</v>
      </c>
      <c r="W16" s="9">
        <v>-1624742</v>
      </c>
      <c r="X16" s="9">
        <v>-1671754</v>
      </c>
      <c r="Y16" s="9">
        <v>-1797877</v>
      </c>
      <c r="Z16" s="9">
        <v>-1929490</v>
      </c>
      <c r="AA16" s="9">
        <v>-1935436</v>
      </c>
      <c r="AB16" s="9">
        <v>-1945073</v>
      </c>
      <c r="AC16" s="9">
        <v>-2044494</v>
      </c>
      <c r="AD16" s="9">
        <v>-2168546</v>
      </c>
      <c r="AE16" s="9">
        <v>-2452068</v>
      </c>
      <c r="AF16" s="9">
        <v>-2687787</v>
      </c>
      <c r="AG16" s="9">
        <v>-2946371</v>
      </c>
      <c r="AH16" s="9">
        <v>-3071745</v>
      </c>
      <c r="AI16" s="9">
        <v>-3101572</v>
      </c>
      <c r="AJ16" s="9">
        <v>-3289607</v>
      </c>
      <c r="AK16" s="9">
        <v>-3790354</v>
      </c>
      <c r="AL16" s="9">
        <v>-3579843</v>
      </c>
      <c r="AM16" s="9">
        <v>-4054457</v>
      </c>
      <c r="AN16" s="9">
        <v>-4614233</v>
      </c>
      <c r="AO16" s="9">
        <v>-4767018</v>
      </c>
      <c r="AP16" s="9">
        <v>-4984751</v>
      </c>
      <c r="AQ16" s="9">
        <v>-5878604</v>
      </c>
      <c r="AR16" s="9">
        <v>-5637788</v>
      </c>
      <c r="AS16" s="9">
        <v>-6096887</v>
      </c>
      <c r="AT16" s="9">
        <v>-6148077</v>
      </c>
      <c r="AU16" s="9">
        <v>-7302006</v>
      </c>
      <c r="AV16" s="9">
        <v>-7817625</v>
      </c>
      <c r="AW16" s="9">
        <v>-9197085</v>
      </c>
    </row>
    <row r="17" spans="1:49" x14ac:dyDescent="0.25">
      <c r="A17" s="7" t="s">
        <v>20</v>
      </c>
      <c r="B17" s="6">
        <v>7451848</v>
      </c>
      <c r="C17" s="6">
        <v>10671563</v>
      </c>
      <c r="D17" s="6">
        <v>11736419</v>
      </c>
      <c r="E17" s="6">
        <v>13456296</v>
      </c>
      <c r="F17" s="6">
        <v>24472022</v>
      </c>
      <c r="G17" s="6">
        <v>21197715</v>
      </c>
      <c r="H17" s="6">
        <v>22353989</v>
      </c>
      <c r="I17" s="6">
        <v>27930032</v>
      </c>
      <c r="J17" s="6">
        <v>33197003</v>
      </c>
      <c r="K17" s="6">
        <v>34261091</v>
      </c>
      <c r="L17" s="6">
        <v>37076750</v>
      </c>
      <c r="M17" s="6">
        <v>32459476</v>
      </c>
      <c r="N17" s="6">
        <v>42682806</v>
      </c>
      <c r="O17" s="6">
        <v>45802141</v>
      </c>
      <c r="P17" s="6">
        <v>39386619</v>
      </c>
      <c r="Q17" s="6">
        <v>32818835</v>
      </c>
      <c r="R17" s="6">
        <v>40679792</v>
      </c>
      <c r="S17" s="6">
        <v>42694913</v>
      </c>
      <c r="T17" s="6">
        <v>38842836</v>
      </c>
      <c r="U17" s="6">
        <v>36659984</v>
      </c>
      <c r="V17" s="6">
        <v>38026229</v>
      </c>
      <c r="W17" s="6">
        <v>36041894</v>
      </c>
      <c r="X17" s="6">
        <v>40553562</v>
      </c>
      <c r="Y17" s="6">
        <v>39903427</v>
      </c>
      <c r="Z17" s="6">
        <v>48949397</v>
      </c>
      <c r="AA17" s="6">
        <v>58236806</v>
      </c>
      <c r="AB17" s="6">
        <v>53219476</v>
      </c>
      <c r="AC17" s="6">
        <v>54467346</v>
      </c>
      <c r="AD17" s="6">
        <v>58820275</v>
      </c>
      <c r="AE17" s="6">
        <v>65513425</v>
      </c>
      <c r="AF17" s="6">
        <v>60494732</v>
      </c>
      <c r="AG17" s="6">
        <v>59200131</v>
      </c>
      <c r="AH17" s="6">
        <v>56383097</v>
      </c>
      <c r="AI17" s="6">
        <v>48789184</v>
      </c>
      <c r="AJ17" s="6">
        <v>55793600</v>
      </c>
      <c r="AK17" s="6">
        <v>44652422</v>
      </c>
      <c r="AL17" s="6">
        <v>51041447</v>
      </c>
      <c r="AM17" s="6">
        <v>44092289</v>
      </c>
      <c r="AN17" s="6">
        <v>55248147</v>
      </c>
      <c r="AO17" s="6">
        <v>60762059</v>
      </c>
      <c r="AP17" s="6">
        <v>34611149</v>
      </c>
      <c r="AQ17" s="6">
        <v>48751284</v>
      </c>
      <c r="AR17" s="6">
        <v>49726466</v>
      </c>
      <c r="AS17" s="6">
        <v>71362330</v>
      </c>
      <c r="AT17" s="6">
        <v>63385953</v>
      </c>
      <c r="AU17" s="6">
        <v>76811704</v>
      </c>
      <c r="AV17" s="6">
        <v>88955221</v>
      </c>
      <c r="AW17" s="6">
        <v>104148714</v>
      </c>
    </row>
    <row r="18" spans="1:49" x14ac:dyDescent="0.25">
      <c r="A18" s="8" t="s">
        <v>21</v>
      </c>
      <c r="B18" s="9">
        <v>5804615</v>
      </c>
      <c r="C18" s="9">
        <v>8955690</v>
      </c>
      <c r="D18" s="9">
        <v>10372147</v>
      </c>
      <c r="E18" s="9">
        <v>12033115</v>
      </c>
      <c r="F18" s="9">
        <v>21348726</v>
      </c>
      <c r="G18" s="9">
        <v>16705365</v>
      </c>
      <c r="H18" s="9">
        <v>17926902</v>
      </c>
      <c r="I18" s="9">
        <v>24186711</v>
      </c>
      <c r="J18" s="9">
        <v>28600670</v>
      </c>
      <c r="K18" s="9">
        <v>24267353</v>
      </c>
      <c r="L18" s="9">
        <v>27763167</v>
      </c>
      <c r="M18" s="9">
        <v>25016638</v>
      </c>
      <c r="N18" s="9">
        <v>35127944</v>
      </c>
      <c r="O18" s="9">
        <v>37417732</v>
      </c>
      <c r="P18" s="9">
        <v>31737506</v>
      </c>
      <c r="Q18" s="9">
        <v>26700583</v>
      </c>
      <c r="R18" s="9">
        <v>31867922</v>
      </c>
      <c r="S18" s="9">
        <v>25754996</v>
      </c>
      <c r="T18" s="9">
        <v>22959264</v>
      </c>
      <c r="U18" s="9">
        <v>22410441</v>
      </c>
      <c r="V18" s="9">
        <v>21764039</v>
      </c>
      <c r="W18" s="9">
        <v>15749443</v>
      </c>
      <c r="X18" s="9">
        <v>16118458</v>
      </c>
      <c r="Y18" s="9">
        <v>13379712</v>
      </c>
      <c r="Z18" s="9">
        <v>18965327</v>
      </c>
      <c r="AA18" s="9">
        <v>30143484</v>
      </c>
      <c r="AB18" s="9">
        <v>28693530</v>
      </c>
      <c r="AC18" s="9">
        <v>29205781</v>
      </c>
      <c r="AD18" s="9">
        <v>34270440</v>
      </c>
      <c r="AE18" s="9">
        <v>43656434</v>
      </c>
      <c r="AF18" s="9">
        <v>43512725</v>
      </c>
      <c r="AG18" s="9">
        <v>46951408</v>
      </c>
      <c r="AH18" s="9">
        <v>41012653</v>
      </c>
      <c r="AI18" s="9">
        <v>35375058</v>
      </c>
      <c r="AJ18" s="9">
        <v>42515463</v>
      </c>
      <c r="AK18" s="9">
        <v>37610068</v>
      </c>
      <c r="AL18" s="9">
        <v>26700855</v>
      </c>
      <c r="AM18" s="9">
        <v>31871688</v>
      </c>
      <c r="AN18" s="9">
        <v>33368663</v>
      </c>
      <c r="AO18" s="9">
        <v>38311638</v>
      </c>
      <c r="AP18" s="9">
        <v>28086753</v>
      </c>
      <c r="AQ18" s="9">
        <v>31407524</v>
      </c>
      <c r="AR18" s="9">
        <v>45597975</v>
      </c>
      <c r="AS18" s="9">
        <v>67243887</v>
      </c>
      <c r="AT18" s="9">
        <v>59301804</v>
      </c>
      <c r="AU18" s="9">
        <v>72904811</v>
      </c>
      <c r="AV18" s="9">
        <v>84729951</v>
      </c>
      <c r="AW18" s="9">
        <v>99072619</v>
      </c>
    </row>
    <row r="19" spans="1:49" x14ac:dyDescent="0.25">
      <c r="A19" s="8" t="s">
        <v>22</v>
      </c>
      <c r="B19" s="9">
        <v>1738095</v>
      </c>
      <c r="C19" s="9">
        <v>1890768</v>
      </c>
      <c r="D19" s="9">
        <v>1486435</v>
      </c>
      <c r="E19" s="9">
        <v>1609681</v>
      </c>
      <c r="F19" s="9">
        <v>3307348</v>
      </c>
      <c r="G19" s="9">
        <v>5011604</v>
      </c>
      <c r="H19" s="9">
        <v>4966437</v>
      </c>
      <c r="I19" s="9">
        <v>4455761</v>
      </c>
      <c r="J19" s="9">
        <v>5410592</v>
      </c>
      <c r="K19" s="9">
        <v>11020813</v>
      </c>
      <c r="L19" s="9">
        <v>10366859</v>
      </c>
      <c r="M19" s="9">
        <v>8508655</v>
      </c>
      <c r="N19" s="9">
        <v>8718121</v>
      </c>
      <c r="O19" s="9">
        <v>9614647</v>
      </c>
      <c r="P19" s="9">
        <v>8851858</v>
      </c>
      <c r="Q19" s="9">
        <v>6966054</v>
      </c>
      <c r="R19" s="9">
        <v>9655484</v>
      </c>
      <c r="S19" s="9">
        <v>17888621</v>
      </c>
      <c r="T19" s="9">
        <v>16793735</v>
      </c>
      <c r="U19" s="9">
        <v>15157992</v>
      </c>
      <c r="V19" s="9">
        <v>17211731</v>
      </c>
      <c r="W19" s="9">
        <v>20696368</v>
      </c>
      <c r="X19" s="9">
        <v>25052541</v>
      </c>
      <c r="Y19" s="9">
        <v>26623949</v>
      </c>
      <c r="Z19" s="9">
        <v>30090341</v>
      </c>
      <c r="AA19" s="9">
        <v>28180901</v>
      </c>
      <c r="AB19" s="9">
        <v>24612582</v>
      </c>
      <c r="AC19" s="9">
        <v>25349148</v>
      </c>
      <c r="AD19" s="9">
        <v>24647047</v>
      </c>
      <c r="AE19" s="9">
        <v>21955594</v>
      </c>
      <c r="AF19" s="9">
        <v>17071519</v>
      </c>
      <c r="AG19" s="9">
        <v>12325996</v>
      </c>
      <c r="AH19" s="9">
        <v>15434181</v>
      </c>
      <c r="AI19" s="9">
        <v>13444130</v>
      </c>
      <c r="AJ19" s="9">
        <v>13306242</v>
      </c>
      <c r="AK19" s="9">
        <v>7085653</v>
      </c>
      <c r="AL19" s="9">
        <v>24395825</v>
      </c>
      <c r="AM19" s="9">
        <v>12304873</v>
      </c>
      <c r="AN19" s="9">
        <v>21991503</v>
      </c>
      <c r="AO19" s="9">
        <v>22570977</v>
      </c>
      <c r="AP19" s="9">
        <v>6668285</v>
      </c>
      <c r="AQ19" s="9">
        <v>17436610</v>
      </c>
      <c r="AR19" s="9">
        <v>4233951</v>
      </c>
      <c r="AS19" s="9">
        <v>4231266</v>
      </c>
      <c r="AT19" s="9">
        <v>4228551</v>
      </c>
      <c r="AU19" s="9">
        <v>4039836</v>
      </c>
      <c r="AV19" s="9">
        <v>4337181</v>
      </c>
      <c r="AW19" s="9">
        <v>5228294</v>
      </c>
    </row>
    <row r="20" spans="1:49" x14ac:dyDescent="0.25">
      <c r="A20" s="8" t="s">
        <v>23</v>
      </c>
      <c r="B20" s="9">
        <v>-90862</v>
      </c>
      <c r="C20" s="9">
        <v>-174895</v>
      </c>
      <c r="D20" s="9">
        <v>-122163</v>
      </c>
      <c r="E20" s="9">
        <v>-186500</v>
      </c>
      <c r="F20" s="9">
        <v>-184052</v>
      </c>
      <c r="G20" s="9">
        <v>-519254</v>
      </c>
      <c r="H20" s="9">
        <v>-539350</v>
      </c>
      <c r="I20" s="9">
        <v>-712440</v>
      </c>
      <c r="J20" s="9">
        <v>-814259</v>
      </c>
      <c r="K20" s="9">
        <v>-1027075</v>
      </c>
      <c r="L20" s="9">
        <v>-1053276</v>
      </c>
      <c r="M20" s="9">
        <v>-1065817</v>
      </c>
      <c r="N20" s="9">
        <v>-1163259</v>
      </c>
      <c r="O20" s="9">
        <v>-1230238</v>
      </c>
      <c r="P20" s="9">
        <v>-1202745</v>
      </c>
      <c r="Q20" s="9">
        <v>-847802</v>
      </c>
      <c r="R20" s="9">
        <v>-843614</v>
      </c>
      <c r="S20" s="9">
        <v>-948704</v>
      </c>
      <c r="T20" s="9">
        <v>-910163</v>
      </c>
      <c r="U20" s="9">
        <v>-908449</v>
      </c>
      <c r="V20" s="9">
        <v>-949541</v>
      </c>
      <c r="W20" s="9">
        <v>-403917</v>
      </c>
      <c r="X20" s="9">
        <v>-617437</v>
      </c>
      <c r="Y20" s="9">
        <v>-100234</v>
      </c>
      <c r="Z20" s="9">
        <v>-106271</v>
      </c>
      <c r="AA20" s="9">
        <v>-87579</v>
      </c>
      <c r="AB20" s="9">
        <v>-86636</v>
      </c>
      <c r="AC20" s="9">
        <v>-87583</v>
      </c>
      <c r="AD20" s="9">
        <v>-97212</v>
      </c>
      <c r="AE20" s="9">
        <v>-98603</v>
      </c>
      <c r="AF20" s="9">
        <v>-89512</v>
      </c>
      <c r="AG20" s="9">
        <v>-77273</v>
      </c>
      <c r="AH20" s="9">
        <v>-63737</v>
      </c>
      <c r="AI20" s="9">
        <v>-30004</v>
      </c>
      <c r="AJ20" s="9">
        <v>-28105</v>
      </c>
      <c r="AK20" s="9">
        <v>-43299</v>
      </c>
      <c r="AL20" s="9">
        <v>-55233</v>
      </c>
      <c r="AM20" s="9">
        <v>-84272</v>
      </c>
      <c r="AN20" s="9">
        <v>-112019</v>
      </c>
      <c r="AO20" s="9">
        <v>-120556</v>
      </c>
      <c r="AP20" s="9">
        <v>-143889</v>
      </c>
      <c r="AQ20" s="9">
        <v>-92850</v>
      </c>
      <c r="AR20" s="9">
        <v>-105460</v>
      </c>
      <c r="AS20" s="9">
        <v>-112823</v>
      </c>
      <c r="AT20" s="9">
        <v>-144402</v>
      </c>
      <c r="AU20" s="9">
        <v>-132943</v>
      </c>
      <c r="AV20" s="9">
        <v>-111911</v>
      </c>
      <c r="AW20" s="9">
        <v>-152199</v>
      </c>
    </row>
    <row r="21" spans="1:49" x14ac:dyDescent="0.25">
      <c r="A21" s="7" t="s">
        <v>24</v>
      </c>
      <c r="B21" s="6">
        <v>169862</v>
      </c>
      <c r="C21" s="6">
        <v>199178</v>
      </c>
      <c r="D21" s="6">
        <v>57617</v>
      </c>
      <c r="E21" s="6">
        <v>95067</v>
      </c>
      <c r="F21" s="6">
        <v>228538</v>
      </c>
      <c r="G21" s="6">
        <v>424607</v>
      </c>
      <c r="H21" s="6">
        <v>440178</v>
      </c>
      <c r="I21" s="6">
        <v>440608</v>
      </c>
      <c r="J21" s="6">
        <v>427646</v>
      </c>
      <c r="K21" s="6">
        <v>389895</v>
      </c>
      <c r="L21" s="6">
        <v>379607</v>
      </c>
      <c r="M21" s="6">
        <v>377916</v>
      </c>
      <c r="N21" s="6">
        <v>374062</v>
      </c>
      <c r="O21" s="6">
        <v>382112</v>
      </c>
      <c r="P21" s="6">
        <v>379382</v>
      </c>
      <c r="Q21" s="6">
        <v>379282</v>
      </c>
      <c r="R21" s="6">
        <v>375727</v>
      </c>
      <c r="S21" s="6">
        <v>164931</v>
      </c>
      <c r="T21" s="6">
        <v>164931</v>
      </c>
      <c r="U21" s="6">
        <v>166821</v>
      </c>
      <c r="V21" s="6">
        <v>166821</v>
      </c>
      <c r="W21" s="6">
        <v>166821</v>
      </c>
      <c r="X21" s="6">
        <v>161050</v>
      </c>
      <c r="Y21" s="6">
        <v>154887</v>
      </c>
      <c r="Z21" s="6">
        <v>154887</v>
      </c>
      <c r="AA21" s="6">
        <v>153636</v>
      </c>
      <c r="AB21" s="6">
        <v>153636</v>
      </c>
      <c r="AC21" s="6">
        <v>143003</v>
      </c>
      <c r="AD21" s="6">
        <v>143003</v>
      </c>
      <c r="AE21" s="6">
        <v>123831</v>
      </c>
      <c r="AF21" s="6">
        <v>143331</v>
      </c>
      <c r="AG21" s="6">
        <v>143820</v>
      </c>
      <c r="AH21" s="6">
        <v>143820</v>
      </c>
      <c r="AI21" s="6">
        <v>144023</v>
      </c>
      <c r="AJ21" s="6">
        <v>144023</v>
      </c>
      <c r="AK21" s="6">
        <v>143858</v>
      </c>
      <c r="AL21" s="6">
        <v>143858</v>
      </c>
      <c r="AM21" s="6">
        <v>143781</v>
      </c>
      <c r="AN21" s="6">
        <v>143781</v>
      </c>
      <c r="AO21" s="6">
        <v>789226</v>
      </c>
      <c r="AP21" s="6">
        <v>811249</v>
      </c>
      <c r="AQ21" s="6">
        <v>857544</v>
      </c>
      <c r="AR21" s="6">
        <v>869471</v>
      </c>
      <c r="AS21" s="6">
        <v>939185</v>
      </c>
      <c r="AT21" s="6">
        <v>994299</v>
      </c>
      <c r="AU21" s="6">
        <v>1149501</v>
      </c>
      <c r="AV21" s="6">
        <v>1243258</v>
      </c>
      <c r="AW21" s="6">
        <v>117692</v>
      </c>
    </row>
    <row r="22" spans="1:49" x14ac:dyDescent="0.25">
      <c r="A22" s="8" t="s">
        <v>25</v>
      </c>
      <c r="B22" s="10"/>
      <c r="C22" s="10"/>
      <c r="D22" s="10"/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x14ac:dyDescent="0.25">
      <c r="A23" s="8" t="s">
        <v>26</v>
      </c>
      <c r="B23" s="10"/>
      <c r="C23" s="10"/>
      <c r="D23" s="10"/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49" x14ac:dyDescent="0.25">
      <c r="A24" s="8" t="s">
        <v>27</v>
      </c>
      <c r="B24" s="10"/>
      <c r="C24" s="10"/>
      <c r="D24" s="10"/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/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9">
        <v>657639</v>
      </c>
      <c r="AP24" s="9">
        <v>679662</v>
      </c>
      <c r="AQ24" s="9">
        <v>726080</v>
      </c>
      <c r="AR24" s="9">
        <v>753307</v>
      </c>
      <c r="AS24" s="9">
        <v>821061</v>
      </c>
      <c r="AT24" s="9">
        <v>876175</v>
      </c>
      <c r="AU24" s="9">
        <v>1031691</v>
      </c>
      <c r="AV24" s="9">
        <v>1125764</v>
      </c>
      <c r="AW24" s="10"/>
    </row>
    <row r="25" spans="1:49" x14ac:dyDescent="0.25">
      <c r="A25" s="8" t="s">
        <v>28</v>
      </c>
      <c r="B25" s="9">
        <v>169862</v>
      </c>
      <c r="C25" s="9">
        <v>199178</v>
      </c>
      <c r="D25" s="9">
        <v>61491</v>
      </c>
      <c r="E25" s="9">
        <v>136891</v>
      </c>
      <c r="F25" s="9">
        <v>249632</v>
      </c>
      <c r="G25" s="9">
        <v>535681</v>
      </c>
      <c r="H25" s="9">
        <v>551252</v>
      </c>
      <c r="I25" s="9">
        <v>552521</v>
      </c>
      <c r="J25" s="9">
        <v>539559</v>
      </c>
      <c r="K25" s="9">
        <v>501434</v>
      </c>
      <c r="L25" s="9">
        <v>491146</v>
      </c>
      <c r="M25" s="9">
        <v>491147</v>
      </c>
      <c r="N25" s="9">
        <v>487293</v>
      </c>
      <c r="O25" s="9">
        <v>493962</v>
      </c>
      <c r="P25" s="9">
        <v>491232</v>
      </c>
      <c r="Q25" s="9">
        <v>491232</v>
      </c>
      <c r="R25" s="9">
        <v>487677</v>
      </c>
      <c r="S25" s="9">
        <v>185117</v>
      </c>
      <c r="T25" s="9">
        <v>185117</v>
      </c>
      <c r="U25" s="9">
        <v>185117</v>
      </c>
      <c r="V25" s="9">
        <v>185117</v>
      </c>
      <c r="W25" s="9">
        <v>185117</v>
      </c>
      <c r="X25" s="9">
        <v>185117</v>
      </c>
      <c r="Y25" s="9">
        <v>185117</v>
      </c>
      <c r="Z25" s="9">
        <v>185117</v>
      </c>
      <c r="AA25" s="9">
        <v>185117</v>
      </c>
      <c r="AB25" s="9">
        <v>185117</v>
      </c>
      <c r="AC25" s="9">
        <v>166421</v>
      </c>
      <c r="AD25" s="9">
        <v>166421</v>
      </c>
      <c r="AE25" s="9">
        <v>144421</v>
      </c>
      <c r="AF25" s="9">
        <v>163921</v>
      </c>
      <c r="AG25" s="9">
        <v>163921</v>
      </c>
      <c r="AH25" s="9">
        <v>163921</v>
      </c>
      <c r="AI25" s="9">
        <v>163921</v>
      </c>
      <c r="AJ25" s="9">
        <v>163921</v>
      </c>
      <c r="AK25" s="9">
        <v>163921</v>
      </c>
      <c r="AL25" s="9">
        <v>163921</v>
      </c>
      <c r="AM25" s="9">
        <v>163921</v>
      </c>
      <c r="AN25" s="9">
        <v>163921</v>
      </c>
      <c r="AO25" s="9">
        <v>149546</v>
      </c>
      <c r="AP25" s="9">
        <v>149546</v>
      </c>
      <c r="AQ25" s="9">
        <v>146546</v>
      </c>
      <c r="AR25" s="9">
        <v>134666</v>
      </c>
      <c r="AS25" s="9">
        <v>125666</v>
      </c>
      <c r="AT25" s="9">
        <v>125666</v>
      </c>
      <c r="AU25" s="9">
        <v>125667</v>
      </c>
      <c r="AV25" s="9">
        <v>125667</v>
      </c>
      <c r="AW25" s="9">
        <v>125667</v>
      </c>
    </row>
    <row r="26" spans="1:49" x14ac:dyDescent="0.25">
      <c r="A26" s="8" t="s">
        <v>29</v>
      </c>
      <c r="B26" s="10"/>
      <c r="C26" s="10"/>
      <c r="D26" s="9">
        <v>-3874</v>
      </c>
      <c r="E26" s="9">
        <v>-41824</v>
      </c>
      <c r="F26" s="9">
        <v>-21094</v>
      </c>
      <c r="G26" s="9">
        <v>-111074</v>
      </c>
      <c r="H26" s="9">
        <v>-111074</v>
      </c>
      <c r="I26" s="9">
        <v>-111913</v>
      </c>
      <c r="J26" s="9">
        <v>-111913</v>
      </c>
      <c r="K26" s="9">
        <v>-111539</v>
      </c>
      <c r="L26" s="9">
        <v>-111539</v>
      </c>
      <c r="M26" s="9">
        <v>-113231</v>
      </c>
      <c r="N26" s="9">
        <v>-113231</v>
      </c>
      <c r="O26" s="9">
        <v>-111850</v>
      </c>
      <c r="P26" s="9">
        <v>-111850</v>
      </c>
      <c r="Q26" s="9">
        <v>-111950</v>
      </c>
      <c r="R26" s="9">
        <v>-111950</v>
      </c>
      <c r="S26" s="9">
        <v>-20186</v>
      </c>
      <c r="T26" s="9">
        <v>-20186</v>
      </c>
      <c r="U26" s="9">
        <v>-18296</v>
      </c>
      <c r="V26" s="9">
        <v>-18296</v>
      </c>
      <c r="W26" s="9">
        <v>-18296</v>
      </c>
      <c r="X26" s="9">
        <v>-24067</v>
      </c>
      <c r="Y26" s="9">
        <v>-30230</v>
      </c>
      <c r="Z26" s="9">
        <v>-30230</v>
      </c>
      <c r="AA26" s="9">
        <v>-31481</v>
      </c>
      <c r="AB26" s="9">
        <v>-31481</v>
      </c>
      <c r="AC26" s="9">
        <v>-23418</v>
      </c>
      <c r="AD26" s="9">
        <v>-23418</v>
      </c>
      <c r="AE26" s="9">
        <v>-20590</v>
      </c>
      <c r="AF26" s="9">
        <v>-20590</v>
      </c>
      <c r="AG26" s="9">
        <v>-20101</v>
      </c>
      <c r="AH26" s="9">
        <v>-20101</v>
      </c>
      <c r="AI26" s="9">
        <v>-19898</v>
      </c>
      <c r="AJ26" s="9">
        <v>-19898</v>
      </c>
      <c r="AK26" s="9">
        <v>-20063</v>
      </c>
      <c r="AL26" s="9">
        <v>-20063</v>
      </c>
      <c r="AM26" s="9">
        <v>-20140</v>
      </c>
      <c r="AN26" s="9">
        <v>-20140</v>
      </c>
      <c r="AO26" s="9">
        <v>-17959</v>
      </c>
      <c r="AP26" s="9">
        <v>-17959</v>
      </c>
      <c r="AQ26" s="9">
        <v>-15082</v>
      </c>
      <c r="AR26" s="9">
        <v>-18502</v>
      </c>
      <c r="AS26" s="9">
        <v>-7542</v>
      </c>
      <c r="AT26" s="9">
        <v>-7542</v>
      </c>
      <c r="AU26" s="9">
        <v>-7857</v>
      </c>
      <c r="AV26" s="9">
        <v>-8173</v>
      </c>
      <c r="AW26" s="9">
        <v>-7975</v>
      </c>
    </row>
    <row r="27" spans="1:49" x14ac:dyDescent="0.25">
      <c r="A27" s="7" t="s">
        <v>30</v>
      </c>
      <c r="B27" s="6">
        <v>256044</v>
      </c>
      <c r="C27" s="6">
        <v>327506</v>
      </c>
      <c r="D27" s="6">
        <v>311834</v>
      </c>
      <c r="E27" s="6">
        <v>590246</v>
      </c>
      <c r="F27" s="6">
        <v>527397</v>
      </c>
      <c r="G27" s="6">
        <v>805214</v>
      </c>
      <c r="H27" s="6">
        <v>779806</v>
      </c>
      <c r="I27" s="6">
        <v>752724</v>
      </c>
      <c r="J27" s="6">
        <v>767947</v>
      </c>
      <c r="K27" s="6">
        <v>1351960</v>
      </c>
      <c r="L27" s="6">
        <v>1336057</v>
      </c>
      <c r="M27" s="6">
        <v>1315165</v>
      </c>
      <c r="N27" s="6">
        <v>1305254</v>
      </c>
      <c r="O27" s="6">
        <v>1526618</v>
      </c>
      <c r="P27" s="6">
        <v>1522636</v>
      </c>
      <c r="Q27" s="6">
        <v>1508844</v>
      </c>
      <c r="R27" s="6">
        <v>1511330</v>
      </c>
      <c r="S27" s="6">
        <v>1615456</v>
      </c>
      <c r="T27" s="6">
        <v>1607734</v>
      </c>
      <c r="U27" s="6">
        <v>858226</v>
      </c>
      <c r="V27" s="6">
        <v>859406</v>
      </c>
      <c r="W27" s="6">
        <v>903561</v>
      </c>
      <c r="X27" s="6">
        <v>901646</v>
      </c>
      <c r="Y27" s="6">
        <v>940810</v>
      </c>
      <c r="Z27" s="6">
        <v>1008126</v>
      </c>
      <c r="AA27" s="6">
        <v>1059428</v>
      </c>
      <c r="AB27" s="6">
        <v>1198085</v>
      </c>
      <c r="AC27" s="6">
        <v>1179213</v>
      </c>
      <c r="AD27" s="6">
        <v>1175974</v>
      </c>
      <c r="AE27" s="6">
        <v>1366325</v>
      </c>
      <c r="AF27" s="6">
        <v>1318816</v>
      </c>
      <c r="AG27" s="6">
        <v>1294275</v>
      </c>
      <c r="AH27" s="6">
        <v>1303783</v>
      </c>
      <c r="AI27" s="6">
        <v>1315057</v>
      </c>
      <c r="AJ27" s="6">
        <v>1292178</v>
      </c>
      <c r="AK27" s="6">
        <v>1307970</v>
      </c>
      <c r="AL27" s="6">
        <v>1326266</v>
      </c>
      <c r="AM27" s="6">
        <v>1422759</v>
      </c>
      <c r="AN27" s="6">
        <v>1493213</v>
      </c>
      <c r="AO27" s="6">
        <v>1542886</v>
      </c>
      <c r="AP27" s="6">
        <v>1669306</v>
      </c>
      <c r="AQ27" s="6">
        <v>1765927</v>
      </c>
      <c r="AR27" s="6">
        <v>1748509</v>
      </c>
      <c r="AS27" s="6">
        <v>1756858</v>
      </c>
      <c r="AT27" s="6">
        <v>1756018</v>
      </c>
      <c r="AU27" s="6">
        <v>1860436</v>
      </c>
      <c r="AV27" s="6">
        <v>1856769</v>
      </c>
      <c r="AW27" s="6">
        <v>1853104</v>
      </c>
    </row>
    <row r="28" spans="1:49" x14ac:dyDescent="0.25">
      <c r="A28" s="11" t="s">
        <v>31</v>
      </c>
      <c r="B28" s="9">
        <v>193854</v>
      </c>
      <c r="C28" s="9">
        <v>265275</v>
      </c>
      <c r="D28" s="9">
        <v>255582</v>
      </c>
      <c r="E28" s="9">
        <v>369550</v>
      </c>
      <c r="F28" s="9">
        <v>310928</v>
      </c>
      <c r="G28" s="9">
        <v>518828</v>
      </c>
      <c r="H28" s="9">
        <v>507620</v>
      </c>
      <c r="I28" s="9">
        <v>486269</v>
      </c>
      <c r="J28" s="9">
        <v>479131</v>
      </c>
      <c r="K28" s="9">
        <v>524984</v>
      </c>
      <c r="L28" s="9">
        <v>504978</v>
      </c>
      <c r="M28" s="9">
        <v>487161</v>
      </c>
      <c r="N28" s="9">
        <v>482209</v>
      </c>
      <c r="O28" s="9">
        <v>526448</v>
      </c>
      <c r="P28" s="9">
        <v>525242</v>
      </c>
      <c r="Q28" s="9">
        <v>511185</v>
      </c>
      <c r="R28" s="9">
        <v>506913</v>
      </c>
      <c r="S28" s="9">
        <v>569227</v>
      </c>
      <c r="T28" s="9">
        <v>564302</v>
      </c>
      <c r="U28" s="9">
        <v>490153</v>
      </c>
      <c r="V28" s="9">
        <v>492663</v>
      </c>
      <c r="W28" s="9">
        <v>532147</v>
      </c>
      <c r="X28" s="9">
        <v>529520</v>
      </c>
      <c r="Y28" s="9">
        <v>539196</v>
      </c>
      <c r="Z28" s="9">
        <v>591131</v>
      </c>
      <c r="AA28" s="9">
        <v>601398</v>
      </c>
      <c r="AB28" s="9">
        <v>604856</v>
      </c>
      <c r="AC28" s="9">
        <v>596011</v>
      </c>
      <c r="AD28" s="9">
        <v>579736</v>
      </c>
      <c r="AE28" s="9">
        <v>663478</v>
      </c>
      <c r="AF28" s="9">
        <v>640621</v>
      </c>
      <c r="AG28" s="9">
        <v>624601</v>
      </c>
      <c r="AH28" s="9">
        <v>632761</v>
      </c>
      <c r="AI28" s="9">
        <v>631621</v>
      </c>
      <c r="AJ28" s="9">
        <v>617503</v>
      </c>
      <c r="AK28" s="9">
        <v>637441</v>
      </c>
      <c r="AL28" s="9">
        <v>652896</v>
      </c>
      <c r="AM28" s="9">
        <v>713141</v>
      </c>
      <c r="AN28" s="9">
        <v>729332</v>
      </c>
      <c r="AO28" s="9">
        <v>785388</v>
      </c>
      <c r="AP28" s="9">
        <v>811751</v>
      </c>
      <c r="AQ28" s="9">
        <v>887455</v>
      </c>
      <c r="AR28" s="9">
        <v>865919</v>
      </c>
      <c r="AS28" s="9">
        <v>889163</v>
      </c>
      <c r="AT28" s="9">
        <v>883151</v>
      </c>
      <c r="AU28" s="9">
        <v>973157</v>
      </c>
      <c r="AV28" s="9">
        <v>992531</v>
      </c>
      <c r="AW28" s="9">
        <v>973352</v>
      </c>
    </row>
    <row r="29" spans="1:49" x14ac:dyDescent="0.25">
      <c r="A29" s="12" t="s">
        <v>32</v>
      </c>
      <c r="B29" s="9">
        <v>242608</v>
      </c>
      <c r="C29" s="9">
        <v>339306</v>
      </c>
      <c r="D29" s="9">
        <v>374143</v>
      </c>
      <c r="E29" s="9">
        <v>614648</v>
      </c>
      <c r="F29" s="9">
        <v>634880</v>
      </c>
      <c r="G29" s="9">
        <v>911585</v>
      </c>
      <c r="H29" s="9">
        <v>923256</v>
      </c>
      <c r="I29" s="9">
        <v>925118</v>
      </c>
      <c r="J29" s="9">
        <v>940873</v>
      </c>
      <c r="K29" s="9">
        <v>1003485</v>
      </c>
      <c r="L29" s="9">
        <v>1005280</v>
      </c>
      <c r="M29" s="9">
        <v>1008283</v>
      </c>
      <c r="N29" s="9">
        <v>1022693</v>
      </c>
      <c r="O29" s="9">
        <v>1078472</v>
      </c>
      <c r="P29" s="9">
        <v>1093463</v>
      </c>
      <c r="Q29" s="9">
        <v>1098466</v>
      </c>
      <c r="R29" s="9">
        <v>1103294</v>
      </c>
      <c r="S29" s="9">
        <v>1171919</v>
      </c>
      <c r="T29" s="9">
        <v>1184638</v>
      </c>
      <c r="U29" s="9">
        <v>1108666</v>
      </c>
      <c r="V29" s="9">
        <v>1124492</v>
      </c>
      <c r="W29" s="9">
        <v>1179231</v>
      </c>
      <c r="X29" s="9">
        <v>1195499</v>
      </c>
      <c r="Y29" s="9">
        <v>1224477</v>
      </c>
      <c r="Z29" s="9">
        <v>1293089</v>
      </c>
      <c r="AA29" s="9">
        <v>1318875</v>
      </c>
      <c r="AB29" s="9">
        <v>1344603</v>
      </c>
      <c r="AC29" s="9">
        <v>1360248</v>
      </c>
      <c r="AD29" s="9">
        <v>1367537</v>
      </c>
      <c r="AE29" s="9">
        <v>1475070</v>
      </c>
      <c r="AF29" s="9">
        <v>1475909</v>
      </c>
      <c r="AG29" s="9">
        <v>1476015</v>
      </c>
      <c r="AH29" s="9">
        <v>1509736</v>
      </c>
      <c r="AI29" s="9">
        <v>1519411</v>
      </c>
      <c r="AJ29" s="9">
        <v>1524634</v>
      </c>
      <c r="AK29" s="9">
        <v>1570950</v>
      </c>
      <c r="AL29" s="9">
        <v>1613425</v>
      </c>
      <c r="AM29" s="9">
        <v>1702786</v>
      </c>
      <c r="AN29" s="9">
        <v>1750408</v>
      </c>
      <c r="AO29" s="9">
        <v>1817298</v>
      </c>
      <c r="AP29" s="9">
        <v>1879950</v>
      </c>
      <c r="AQ29" s="9">
        <v>1983500</v>
      </c>
      <c r="AR29" s="9">
        <v>1997780</v>
      </c>
      <c r="AS29" s="9">
        <v>2057742</v>
      </c>
      <c r="AT29" s="9">
        <v>2059462</v>
      </c>
      <c r="AU29" s="9">
        <v>2169180</v>
      </c>
      <c r="AV29" s="9">
        <v>2218524</v>
      </c>
      <c r="AW29" s="9">
        <v>2252441</v>
      </c>
    </row>
    <row r="30" spans="1:49" x14ac:dyDescent="0.25">
      <c r="A30" s="12" t="s">
        <v>33</v>
      </c>
      <c r="B30" s="9">
        <v>-48754</v>
      </c>
      <c r="C30" s="9">
        <v>-74031</v>
      </c>
      <c r="D30" s="9">
        <v>-118561</v>
      </c>
      <c r="E30" s="9">
        <v>-245098</v>
      </c>
      <c r="F30" s="9">
        <v>-323952</v>
      </c>
      <c r="G30" s="9">
        <v>-392757</v>
      </c>
      <c r="H30" s="9">
        <v>-415636</v>
      </c>
      <c r="I30" s="9">
        <v>-438849</v>
      </c>
      <c r="J30" s="9">
        <v>-461742</v>
      </c>
      <c r="K30" s="9">
        <v>-478501</v>
      </c>
      <c r="L30" s="9">
        <v>-500302</v>
      </c>
      <c r="M30" s="9">
        <v>-521122</v>
      </c>
      <c r="N30" s="9">
        <v>-540484</v>
      </c>
      <c r="O30" s="9">
        <v>-552024</v>
      </c>
      <c r="P30" s="9">
        <v>-568221</v>
      </c>
      <c r="Q30" s="9">
        <v>-587281</v>
      </c>
      <c r="R30" s="9">
        <v>-596381</v>
      </c>
      <c r="S30" s="9">
        <v>-602692</v>
      </c>
      <c r="T30" s="9">
        <v>-620336</v>
      </c>
      <c r="U30" s="9">
        <v>-618513</v>
      </c>
      <c r="V30" s="9">
        <v>-631829</v>
      </c>
      <c r="W30" s="9">
        <v>-647084</v>
      </c>
      <c r="X30" s="9">
        <v>-665979</v>
      </c>
      <c r="Y30" s="9">
        <v>-685281</v>
      </c>
      <c r="Z30" s="9">
        <v>-701958</v>
      </c>
      <c r="AA30" s="9">
        <v>-717477</v>
      </c>
      <c r="AB30" s="9">
        <v>-739747</v>
      </c>
      <c r="AC30" s="9">
        <v>-764237</v>
      </c>
      <c r="AD30" s="9">
        <v>-787801</v>
      </c>
      <c r="AE30" s="9">
        <v>-811592</v>
      </c>
      <c r="AF30" s="9">
        <v>-835288</v>
      </c>
      <c r="AG30" s="9">
        <v>-851414</v>
      </c>
      <c r="AH30" s="9">
        <v>-876975</v>
      </c>
      <c r="AI30" s="9">
        <v>-887790</v>
      </c>
      <c r="AJ30" s="9">
        <v>-907131</v>
      </c>
      <c r="AK30" s="9">
        <v>-933509</v>
      </c>
      <c r="AL30" s="9">
        <v>-960529</v>
      </c>
      <c r="AM30" s="9">
        <v>-989645</v>
      </c>
      <c r="AN30" s="9">
        <v>-1021076</v>
      </c>
      <c r="AO30" s="9">
        <v>-1031910</v>
      </c>
      <c r="AP30" s="9">
        <v>-1068199</v>
      </c>
      <c r="AQ30" s="9">
        <v>-1096045</v>
      </c>
      <c r="AR30" s="9">
        <v>-1131861</v>
      </c>
      <c r="AS30" s="9">
        <v>-1168579</v>
      </c>
      <c r="AT30" s="9">
        <v>-1176311</v>
      </c>
      <c r="AU30" s="9">
        <v>-1196023</v>
      </c>
      <c r="AV30" s="9">
        <v>-1225993</v>
      </c>
      <c r="AW30" s="9">
        <v>-1279089</v>
      </c>
    </row>
    <row r="31" spans="1:49" x14ac:dyDescent="0.25">
      <c r="A31" s="11" t="s">
        <v>34</v>
      </c>
      <c r="B31" s="10"/>
      <c r="C31" s="10"/>
      <c r="D31" s="10"/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10">
        <v>0</v>
      </c>
      <c r="AB31" s="10">
        <v>0</v>
      </c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x14ac:dyDescent="0.25">
      <c r="A32" s="12" t="s">
        <v>32</v>
      </c>
      <c r="B32" s="10"/>
      <c r="C32" s="10"/>
      <c r="D32" s="10"/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10">
        <v>0</v>
      </c>
      <c r="AB32" s="10">
        <v>0</v>
      </c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x14ac:dyDescent="0.25">
      <c r="A33" s="12" t="s">
        <v>33</v>
      </c>
      <c r="B33" s="10"/>
      <c r="C33" s="10"/>
      <c r="D33" s="10"/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10">
        <v>0</v>
      </c>
      <c r="AB33" s="10">
        <v>0</v>
      </c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x14ac:dyDescent="0.25">
      <c r="A34" s="11" t="s">
        <v>35</v>
      </c>
      <c r="B34" s="9">
        <v>62190</v>
      </c>
      <c r="C34" s="9">
        <v>62231</v>
      </c>
      <c r="D34" s="9">
        <v>56252</v>
      </c>
      <c r="E34" s="9">
        <v>220696</v>
      </c>
      <c r="F34" s="9">
        <v>216469</v>
      </c>
      <c r="G34" s="9">
        <v>286386</v>
      </c>
      <c r="H34" s="9">
        <v>272186</v>
      </c>
      <c r="I34" s="9">
        <v>266455</v>
      </c>
      <c r="J34" s="9">
        <v>288816</v>
      </c>
      <c r="K34" s="9">
        <v>826976</v>
      </c>
      <c r="L34" s="9">
        <v>831079</v>
      </c>
      <c r="M34" s="9">
        <v>828004</v>
      </c>
      <c r="N34" s="9">
        <v>823045</v>
      </c>
      <c r="O34" s="9">
        <v>1000170</v>
      </c>
      <c r="P34" s="9">
        <v>997394</v>
      </c>
      <c r="Q34" s="9">
        <v>997659</v>
      </c>
      <c r="R34" s="9">
        <v>1004417</v>
      </c>
      <c r="S34" s="9">
        <v>1046229</v>
      </c>
      <c r="T34" s="9">
        <v>1043432</v>
      </c>
      <c r="U34" s="9">
        <v>368073</v>
      </c>
      <c r="V34" s="9">
        <v>366743</v>
      </c>
      <c r="W34" s="9">
        <v>371414</v>
      </c>
      <c r="X34" s="9">
        <v>372126</v>
      </c>
      <c r="Y34" s="9">
        <v>401614</v>
      </c>
      <c r="Z34" s="9">
        <v>416995</v>
      </c>
      <c r="AA34" s="9">
        <v>458030</v>
      </c>
      <c r="AB34" s="9">
        <v>593229</v>
      </c>
      <c r="AC34" s="9">
        <v>583202</v>
      </c>
      <c r="AD34" s="9">
        <v>596238</v>
      </c>
      <c r="AE34" s="9">
        <v>702847</v>
      </c>
      <c r="AF34" s="9">
        <v>678195</v>
      </c>
      <c r="AG34" s="9">
        <v>669674</v>
      </c>
      <c r="AH34" s="9">
        <v>671022</v>
      </c>
      <c r="AI34" s="9">
        <v>683436</v>
      </c>
      <c r="AJ34" s="9">
        <v>674675</v>
      </c>
      <c r="AK34" s="9">
        <v>670529</v>
      </c>
      <c r="AL34" s="9">
        <v>673370</v>
      </c>
      <c r="AM34" s="9">
        <v>709618</v>
      </c>
      <c r="AN34" s="9">
        <v>763881</v>
      </c>
      <c r="AO34" s="9">
        <v>757498</v>
      </c>
      <c r="AP34" s="9">
        <v>857555</v>
      </c>
      <c r="AQ34" s="9">
        <v>878472</v>
      </c>
      <c r="AR34" s="9">
        <v>882590</v>
      </c>
      <c r="AS34" s="9">
        <v>867695</v>
      </c>
      <c r="AT34" s="9">
        <v>872867</v>
      </c>
      <c r="AU34" s="9">
        <v>887279</v>
      </c>
      <c r="AV34" s="9">
        <v>864238</v>
      </c>
      <c r="AW34" s="9">
        <v>879752</v>
      </c>
    </row>
    <row r="35" spans="1:49" x14ac:dyDescent="0.25">
      <c r="A35" s="12" t="s">
        <v>32</v>
      </c>
      <c r="B35" s="9">
        <v>71177</v>
      </c>
      <c r="C35" s="9">
        <v>78690</v>
      </c>
      <c r="D35" s="9">
        <v>80451</v>
      </c>
      <c r="E35" s="9">
        <v>300131</v>
      </c>
      <c r="F35" s="9">
        <v>329101</v>
      </c>
      <c r="G35" s="9">
        <v>423978</v>
      </c>
      <c r="H35" s="9">
        <v>416331</v>
      </c>
      <c r="I35" s="9">
        <v>416544</v>
      </c>
      <c r="J35" s="9">
        <v>444477</v>
      </c>
      <c r="K35" s="9">
        <v>987948</v>
      </c>
      <c r="L35" s="9">
        <v>997730</v>
      </c>
      <c r="M35" s="9">
        <v>1000122</v>
      </c>
      <c r="N35" s="9">
        <v>1000121</v>
      </c>
      <c r="O35" s="9">
        <v>1181235</v>
      </c>
      <c r="P35" s="9">
        <v>1182025</v>
      </c>
      <c r="Q35" s="9">
        <v>1185780</v>
      </c>
      <c r="R35" s="9">
        <v>1195775</v>
      </c>
      <c r="S35" s="9">
        <v>1240443</v>
      </c>
      <c r="T35" s="9">
        <v>1240443</v>
      </c>
      <c r="U35" s="9">
        <v>567474</v>
      </c>
      <c r="V35" s="9">
        <v>568687</v>
      </c>
      <c r="W35" s="9">
        <v>575871</v>
      </c>
      <c r="X35" s="9">
        <v>579418</v>
      </c>
      <c r="Y35" s="9">
        <v>614010</v>
      </c>
      <c r="Z35" s="9">
        <v>636839</v>
      </c>
      <c r="AA35" s="9">
        <v>686263</v>
      </c>
      <c r="AB35" s="9">
        <v>832993</v>
      </c>
      <c r="AC35" s="9">
        <v>834627</v>
      </c>
      <c r="AD35" s="9">
        <v>859331</v>
      </c>
      <c r="AE35" s="9">
        <v>977488</v>
      </c>
      <c r="AF35" s="9">
        <v>964575</v>
      </c>
      <c r="AG35" s="9">
        <v>967645</v>
      </c>
      <c r="AH35" s="9">
        <v>981086</v>
      </c>
      <c r="AI35" s="9">
        <v>1006273</v>
      </c>
      <c r="AJ35" s="9">
        <v>1009969</v>
      </c>
      <c r="AK35" s="9">
        <v>1016505</v>
      </c>
      <c r="AL35" s="9">
        <v>1028685</v>
      </c>
      <c r="AM35" s="9">
        <v>1076187</v>
      </c>
      <c r="AN35" s="9">
        <v>1139947</v>
      </c>
      <c r="AO35" s="9">
        <v>1143428</v>
      </c>
      <c r="AP35" s="9">
        <v>1259274</v>
      </c>
      <c r="AQ35" s="9">
        <v>1291428</v>
      </c>
      <c r="AR35" s="9">
        <v>1316125</v>
      </c>
      <c r="AS35" s="9">
        <v>1323598</v>
      </c>
      <c r="AT35" s="9">
        <v>1352025</v>
      </c>
      <c r="AU35" s="9">
        <v>1392388</v>
      </c>
      <c r="AV35" s="9">
        <v>1395969</v>
      </c>
      <c r="AW35" s="9">
        <v>1463958</v>
      </c>
    </row>
    <row r="36" spans="1:49" x14ac:dyDescent="0.25">
      <c r="A36" s="12" t="s">
        <v>33</v>
      </c>
      <c r="B36" s="9">
        <v>-8987</v>
      </c>
      <c r="C36" s="9">
        <v>-16459</v>
      </c>
      <c r="D36" s="9">
        <v>-24199</v>
      </c>
      <c r="E36" s="9">
        <v>-79435</v>
      </c>
      <c r="F36" s="9">
        <v>-112632</v>
      </c>
      <c r="G36" s="9">
        <v>-137592</v>
      </c>
      <c r="H36" s="9">
        <v>-144145</v>
      </c>
      <c r="I36" s="9">
        <v>-150089</v>
      </c>
      <c r="J36" s="9">
        <v>-155661</v>
      </c>
      <c r="K36" s="9">
        <v>-160972</v>
      </c>
      <c r="L36" s="9">
        <v>-166651</v>
      </c>
      <c r="M36" s="9">
        <v>-172118</v>
      </c>
      <c r="N36" s="9">
        <v>-177076</v>
      </c>
      <c r="O36" s="9">
        <v>-181065</v>
      </c>
      <c r="P36" s="9">
        <v>-184631</v>
      </c>
      <c r="Q36" s="9">
        <v>-188121</v>
      </c>
      <c r="R36" s="9">
        <v>-191358</v>
      </c>
      <c r="S36" s="9">
        <v>-194214</v>
      </c>
      <c r="T36" s="9">
        <v>-197011</v>
      </c>
      <c r="U36" s="9">
        <v>-199401</v>
      </c>
      <c r="V36" s="9">
        <v>-201944</v>
      </c>
      <c r="W36" s="9">
        <v>-204457</v>
      </c>
      <c r="X36" s="9">
        <v>-207292</v>
      </c>
      <c r="Y36" s="9">
        <v>-212396</v>
      </c>
      <c r="Z36" s="9">
        <v>-219844</v>
      </c>
      <c r="AA36" s="9">
        <v>-228233</v>
      </c>
      <c r="AB36" s="9">
        <v>-239764</v>
      </c>
      <c r="AC36" s="9">
        <v>-251425</v>
      </c>
      <c r="AD36" s="9">
        <v>-263093</v>
      </c>
      <c r="AE36" s="9">
        <v>-274641</v>
      </c>
      <c r="AF36" s="9">
        <v>-286380</v>
      </c>
      <c r="AG36" s="9">
        <v>-297971</v>
      </c>
      <c r="AH36" s="9">
        <v>-310064</v>
      </c>
      <c r="AI36" s="9">
        <v>-322837</v>
      </c>
      <c r="AJ36" s="9">
        <v>-335294</v>
      </c>
      <c r="AK36" s="9">
        <v>-345976</v>
      </c>
      <c r="AL36" s="9">
        <v>-355315</v>
      </c>
      <c r="AM36" s="9">
        <v>-366569</v>
      </c>
      <c r="AN36" s="9">
        <v>-376066</v>
      </c>
      <c r="AO36" s="9">
        <v>-385930</v>
      </c>
      <c r="AP36" s="9">
        <v>-401719</v>
      </c>
      <c r="AQ36" s="9">
        <v>-412956</v>
      </c>
      <c r="AR36" s="9">
        <v>-433535</v>
      </c>
      <c r="AS36" s="9">
        <v>-455903</v>
      </c>
      <c r="AT36" s="9">
        <v>-479158</v>
      </c>
      <c r="AU36" s="9">
        <v>-505109</v>
      </c>
      <c r="AV36" s="9">
        <v>-531731</v>
      </c>
      <c r="AW36" s="9">
        <v>-584206</v>
      </c>
    </row>
    <row r="37" spans="1:49" x14ac:dyDescent="0.25">
      <c r="A37" s="8" t="s">
        <v>36</v>
      </c>
      <c r="B37" s="10"/>
      <c r="C37" s="10"/>
      <c r="D37" s="10"/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10">
        <v>0</v>
      </c>
      <c r="AB37" s="10">
        <v>0</v>
      </c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x14ac:dyDescent="0.25">
      <c r="A38" s="7" t="s">
        <v>37</v>
      </c>
      <c r="B38" s="4"/>
      <c r="C38" s="4"/>
      <c r="D38" s="4"/>
      <c r="E38" s="4">
        <v>0</v>
      </c>
      <c r="F38" s="4">
        <v>0</v>
      </c>
      <c r="G38" s="6">
        <v>64838</v>
      </c>
      <c r="H38" s="6">
        <v>62487</v>
      </c>
      <c r="I38" s="6">
        <v>62413</v>
      </c>
      <c r="J38" s="6">
        <v>73662</v>
      </c>
      <c r="K38" s="6">
        <v>88381</v>
      </c>
      <c r="L38" s="6">
        <v>89585</v>
      </c>
      <c r="M38" s="6">
        <v>58444</v>
      </c>
      <c r="N38" s="6">
        <v>58412</v>
      </c>
      <c r="O38" s="6">
        <v>45769</v>
      </c>
      <c r="P38" s="6">
        <v>52048</v>
      </c>
      <c r="Q38" s="6">
        <v>52016</v>
      </c>
      <c r="R38" s="6">
        <v>51985</v>
      </c>
      <c r="S38" s="6">
        <v>51955</v>
      </c>
      <c r="T38" s="6">
        <v>51923</v>
      </c>
      <c r="U38" s="6">
        <v>51892</v>
      </c>
      <c r="V38" s="6">
        <v>44108</v>
      </c>
      <c r="W38" s="6">
        <v>44098</v>
      </c>
      <c r="X38" s="6">
        <v>44083</v>
      </c>
      <c r="Y38" s="6">
        <v>44068</v>
      </c>
      <c r="Z38" s="6">
        <v>35425</v>
      </c>
      <c r="AA38" s="6">
        <v>20860</v>
      </c>
      <c r="AB38" s="6">
        <v>20847</v>
      </c>
      <c r="AC38" s="6">
        <v>20835</v>
      </c>
      <c r="AD38" s="6">
        <v>20823</v>
      </c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>
        <v>0</v>
      </c>
      <c r="AW38" s="4"/>
    </row>
    <row r="39" spans="1:49" x14ac:dyDescent="0.25">
      <c r="A39" s="8" t="s">
        <v>32</v>
      </c>
      <c r="B39" s="10"/>
      <c r="C39" s="10"/>
      <c r="D39" s="10"/>
      <c r="E39" s="10">
        <v>0</v>
      </c>
      <c r="F39" s="10">
        <v>0</v>
      </c>
      <c r="G39" s="9">
        <v>64984</v>
      </c>
      <c r="H39" s="9">
        <v>62690</v>
      </c>
      <c r="I39" s="9">
        <v>62690</v>
      </c>
      <c r="J39" s="9">
        <v>74014</v>
      </c>
      <c r="K39" s="9">
        <v>88765</v>
      </c>
      <c r="L39" s="9">
        <v>90053</v>
      </c>
      <c r="M39" s="9">
        <v>58649</v>
      </c>
      <c r="N39" s="9">
        <v>58649</v>
      </c>
      <c r="O39" s="9">
        <v>46037</v>
      </c>
      <c r="P39" s="9">
        <v>52347</v>
      </c>
      <c r="Q39" s="9">
        <v>52346</v>
      </c>
      <c r="R39" s="9">
        <v>52346</v>
      </c>
      <c r="S39" s="9">
        <v>52347</v>
      </c>
      <c r="T39" s="9">
        <v>52347</v>
      </c>
      <c r="U39" s="9">
        <v>52347</v>
      </c>
      <c r="V39" s="9">
        <v>44295</v>
      </c>
      <c r="W39" s="9">
        <v>44295</v>
      </c>
      <c r="X39" s="9">
        <v>44295</v>
      </c>
      <c r="Y39" s="9">
        <v>44295</v>
      </c>
      <c r="Z39" s="9">
        <v>35667</v>
      </c>
      <c r="AA39" s="9">
        <v>21058</v>
      </c>
      <c r="AB39" s="9">
        <v>21058</v>
      </c>
      <c r="AC39" s="9">
        <v>21058</v>
      </c>
      <c r="AD39" s="9">
        <v>21058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spans="1:49" x14ac:dyDescent="0.25">
      <c r="A40" s="8" t="s">
        <v>33</v>
      </c>
      <c r="B40" s="10"/>
      <c r="C40" s="10"/>
      <c r="D40" s="10"/>
      <c r="E40" s="10">
        <v>0</v>
      </c>
      <c r="F40" s="10">
        <v>0</v>
      </c>
      <c r="G40" s="10">
        <v>-146</v>
      </c>
      <c r="H40" s="10">
        <v>-203</v>
      </c>
      <c r="I40" s="10">
        <v>-277</v>
      </c>
      <c r="J40" s="10">
        <v>-352</v>
      </c>
      <c r="K40" s="10">
        <v>-384</v>
      </c>
      <c r="L40" s="10">
        <v>-468</v>
      </c>
      <c r="M40" s="10">
        <v>-205</v>
      </c>
      <c r="N40" s="10">
        <v>-237</v>
      </c>
      <c r="O40" s="10">
        <v>-268</v>
      </c>
      <c r="P40" s="10">
        <v>-299</v>
      </c>
      <c r="Q40" s="10">
        <v>-330</v>
      </c>
      <c r="R40" s="10">
        <v>-361</v>
      </c>
      <c r="S40" s="10">
        <v>-392</v>
      </c>
      <c r="T40" s="10">
        <v>-424</v>
      </c>
      <c r="U40" s="10">
        <v>-455</v>
      </c>
      <c r="V40" s="10">
        <v>-187</v>
      </c>
      <c r="W40" s="10">
        <v>-197</v>
      </c>
      <c r="X40" s="10">
        <v>-212</v>
      </c>
      <c r="Y40" s="10">
        <v>-227</v>
      </c>
      <c r="Z40" s="10">
        <v>-242</v>
      </c>
      <c r="AA40" s="10">
        <v>-198</v>
      </c>
      <c r="AB40" s="10">
        <v>-211</v>
      </c>
      <c r="AC40" s="10">
        <v>-223</v>
      </c>
      <c r="AD40" s="10">
        <v>-235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x14ac:dyDescent="0.25">
      <c r="A41" s="7" t="s">
        <v>38</v>
      </c>
      <c r="B41" s="6">
        <v>4781817</v>
      </c>
      <c r="C41" s="6">
        <v>8303688</v>
      </c>
      <c r="D41" s="6">
        <v>10631668</v>
      </c>
      <c r="E41" s="6">
        <v>14514806</v>
      </c>
      <c r="F41" s="6">
        <v>11784361</v>
      </c>
      <c r="G41" s="6">
        <v>10976231</v>
      </c>
      <c r="H41" s="6">
        <v>10929605</v>
      </c>
      <c r="I41" s="6">
        <v>10142750</v>
      </c>
      <c r="J41" s="6">
        <v>10835048</v>
      </c>
      <c r="K41" s="6">
        <v>9896674</v>
      </c>
      <c r="L41" s="6">
        <v>9724047</v>
      </c>
      <c r="M41" s="6">
        <v>9376969</v>
      </c>
      <c r="N41" s="6">
        <v>9567878</v>
      </c>
      <c r="O41" s="6">
        <v>8255840</v>
      </c>
      <c r="P41" s="6">
        <v>7881811</v>
      </c>
      <c r="Q41" s="6">
        <v>6665872</v>
      </c>
      <c r="R41" s="6">
        <v>7274905</v>
      </c>
      <c r="S41" s="6">
        <v>7075965</v>
      </c>
      <c r="T41" s="6">
        <v>7390815</v>
      </c>
      <c r="U41" s="6">
        <v>8990427</v>
      </c>
      <c r="V41" s="6">
        <v>7693859</v>
      </c>
      <c r="W41" s="6">
        <v>11804784</v>
      </c>
      <c r="X41" s="6">
        <v>11862609</v>
      </c>
      <c r="Y41" s="6">
        <v>10963917</v>
      </c>
      <c r="Z41" s="6">
        <v>11835405</v>
      </c>
      <c r="AA41" s="6">
        <v>15934468</v>
      </c>
      <c r="AB41" s="6">
        <v>15824549</v>
      </c>
      <c r="AC41" s="6">
        <v>18213053</v>
      </c>
      <c r="AD41" s="6">
        <v>20657719</v>
      </c>
      <c r="AE41" s="6">
        <v>25414855</v>
      </c>
      <c r="AF41" s="6">
        <v>24768150</v>
      </c>
      <c r="AG41" s="6">
        <v>30156110</v>
      </c>
      <c r="AH41" s="6">
        <v>32378998</v>
      </c>
      <c r="AI41" s="6">
        <v>40128470</v>
      </c>
      <c r="AJ41" s="6">
        <v>40843864</v>
      </c>
      <c r="AK41" s="6">
        <v>41892578</v>
      </c>
      <c r="AL41" s="6">
        <v>55852169</v>
      </c>
      <c r="AM41" s="6">
        <v>57808636</v>
      </c>
      <c r="AN41" s="6">
        <v>60700854</v>
      </c>
      <c r="AO41" s="6">
        <v>61679516</v>
      </c>
      <c r="AP41" s="6">
        <v>52268933</v>
      </c>
      <c r="AQ41" s="6">
        <v>55958160</v>
      </c>
      <c r="AR41" s="6">
        <v>55509696</v>
      </c>
      <c r="AS41" s="6">
        <v>59356226</v>
      </c>
      <c r="AT41" s="6">
        <v>50380433</v>
      </c>
      <c r="AU41" s="6">
        <v>63424364</v>
      </c>
      <c r="AV41" s="6">
        <v>60214370</v>
      </c>
      <c r="AW41" s="6">
        <v>73760098</v>
      </c>
    </row>
    <row r="42" spans="1:49" x14ac:dyDescent="0.25">
      <c r="A42" s="8" t="s">
        <v>39</v>
      </c>
      <c r="B42" s="9">
        <v>4112539</v>
      </c>
      <c r="C42" s="9">
        <v>6937597</v>
      </c>
      <c r="D42" s="9">
        <v>8908175</v>
      </c>
      <c r="E42" s="9">
        <v>11932794</v>
      </c>
      <c r="F42" s="9">
        <v>8669528</v>
      </c>
      <c r="G42" s="9">
        <v>7651409</v>
      </c>
      <c r="H42" s="9">
        <v>6616537</v>
      </c>
      <c r="I42" s="9">
        <v>6057966</v>
      </c>
      <c r="J42" s="9">
        <v>6496840</v>
      </c>
      <c r="K42" s="9">
        <v>5290387</v>
      </c>
      <c r="L42" s="9">
        <v>5285238</v>
      </c>
      <c r="M42" s="9">
        <v>4868298</v>
      </c>
      <c r="N42" s="9">
        <v>4715281</v>
      </c>
      <c r="O42" s="9">
        <v>3423647</v>
      </c>
      <c r="P42" s="9">
        <v>2725615</v>
      </c>
      <c r="Q42" s="9">
        <v>2100239</v>
      </c>
      <c r="R42" s="9">
        <v>2451166</v>
      </c>
      <c r="S42" s="9">
        <v>2024124</v>
      </c>
      <c r="T42" s="9">
        <v>2231453</v>
      </c>
      <c r="U42" s="9">
        <v>3900224</v>
      </c>
      <c r="V42" s="9">
        <v>2830343</v>
      </c>
      <c r="W42" s="9">
        <v>6719990</v>
      </c>
      <c r="X42" s="9">
        <v>6497695</v>
      </c>
      <c r="Y42" s="9">
        <v>6063584</v>
      </c>
      <c r="Z42" s="9">
        <v>7038528</v>
      </c>
      <c r="AA42" s="9">
        <v>10864443</v>
      </c>
      <c r="AB42" s="9">
        <v>10475245</v>
      </c>
      <c r="AC42" s="9">
        <v>12606066</v>
      </c>
      <c r="AD42" s="9">
        <v>15453115</v>
      </c>
      <c r="AE42" s="9">
        <v>20234815</v>
      </c>
      <c r="AF42" s="9">
        <v>19285746</v>
      </c>
      <c r="AG42" s="9">
        <v>24098012</v>
      </c>
      <c r="AH42" s="9">
        <v>26129638</v>
      </c>
      <c r="AI42" s="9">
        <v>33406609</v>
      </c>
      <c r="AJ42" s="9">
        <v>33290341</v>
      </c>
      <c r="AK42" s="9">
        <v>34204669</v>
      </c>
      <c r="AL42" s="9">
        <v>48282546</v>
      </c>
      <c r="AM42" s="9">
        <v>49527933</v>
      </c>
      <c r="AN42" s="9">
        <v>51746520</v>
      </c>
      <c r="AO42" s="9">
        <v>52319155</v>
      </c>
      <c r="AP42" s="9">
        <v>43608103</v>
      </c>
      <c r="AQ42" s="9">
        <v>48393565</v>
      </c>
      <c r="AR42" s="9">
        <v>46900361</v>
      </c>
      <c r="AS42" s="9">
        <v>50120428</v>
      </c>
      <c r="AT42" s="9">
        <v>37644088</v>
      </c>
      <c r="AU42" s="9">
        <v>22318435</v>
      </c>
      <c r="AV42" s="9">
        <v>18957542</v>
      </c>
      <c r="AW42" s="9">
        <v>26455638</v>
      </c>
    </row>
    <row r="43" spans="1:49" x14ac:dyDescent="0.25">
      <c r="A43" s="8" t="s">
        <v>40</v>
      </c>
      <c r="B43" s="9">
        <v>421001</v>
      </c>
      <c r="C43" s="9">
        <v>987191</v>
      </c>
      <c r="D43" s="9">
        <v>1277183</v>
      </c>
      <c r="E43" s="9">
        <v>1574367</v>
      </c>
      <c r="F43" s="9">
        <v>1892785</v>
      </c>
      <c r="G43" s="9">
        <v>1916536</v>
      </c>
      <c r="H43" s="9">
        <v>2296604</v>
      </c>
      <c r="I43" s="9">
        <v>2653004</v>
      </c>
      <c r="J43" s="9">
        <v>2895746</v>
      </c>
      <c r="K43" s="9">
        <v>3113887</v>
      </c>
      <c r="L43" s="9">
        <v>2960464</v>
      </c>
      <c r="M43" s="9">
        <v>3019485</v>
      </c>
      <c r="N43" s="9">
        <v>3426672</v>
      </c>
      <c r="O43" s="9">
        <v>3416359</v>
      </c>
      <c r="P43" s="9">
        <v>3719304</v>
      </c>
      <c r="Q43" s="9">
        <v>3114064</v>
      </c>
      <c r="R43" s="9">
        <v>3345292</v>
      </c>
      <c r="S43" s="9">
        <v>3519215</v>
      </c>
      <c r="T43" s="9">
        <v>3568368</v>
      </c>
      <c r="U43" s="9">
        <v>3551518</v>
      </c>
      <c r="V43" s="9">
        <v>3314583</v>
      </c>
      <c r="W43" s="9">
        <v>3197572</v>
      </c>
      <c r="X43" s="9">
        <v>3400174</v>
      </c>
      <c r="Y43" s="9">
        <v>2946670</v>
      </c>
      <c r="Z43" s="9">
        <v>2883715</v>
      </c>
      <c r="AA43" s="9">
        <v>3090539</v>
      </c>
      <c r="AB43" s="9">
        <v>3383654</v>
      </c>
      <c r="AC43" s="9">
        <v>3601918</v>
      </c>
      <c r="AD43" s="9">
        <v>3403365</v>
      </c>
      <c r="AE43" s="9">
        <v>3256425</v>
      </c>
      <c r="AF43" s="9">
        <v>3486228</v>
      </c>
      <c r="AG43" s="9">
        <v>4006661</v>
      </c>
      <c r="AH43" s="9">
        <v>4141516</v>
      </c>
      <c r="AI43" s="9">
        <v>4403501</v>
      </c>
      <c r="AJ43" s="9">
        <v>5298156</v>
      </c>
      <c r="AK43" s="9">
        <v>5479680</v>
      </c>
      <c r="AL43" s="9">
        <v>5353605</v>
      </c>
      <c r="AM43" s="9">
        <v>6017101</v>
      </c>
      <c r="AN43" s="9">
        <v>6801229</v>
      </c>
      <c r="AO43" s="9">
        <v>7223915</v>
      </c>
      <c r="AP43" s="9">
        <v>6496509</v>
      </c>
      <c r="AQ43" s="9">
        <v>5304263</v>
      </c>
      <c r="AR43" s="9">
        <v>6320278</v>
      </c>
      <c r="AS43" s="9">
        <v>6970426</v>
      </c>
      <c r="AT43" s="9">
        <v>6919127</v>
      </c>
      <c r="AU43" s="9">
        <v>6221116</v>
      </c>
      <c r="AV43" s="9">
        <v>8448340</v>
      </c>
      <c r="AW43" s="9">
        <v>8746086</v>
      </c>
    </row>
    <row r="44" spans="1:49" x14ac:dyDescent="0.25">
      <c r="A44" s="8" t="s">
        <v>41</v>
      </c>
      <c r="B44" s="10">
        <v>158</v>
      </c>
      <c r="C44" s="10"/>
      <c r="D44" s="10"/>
      <c r="E44" s="9">
        <v>21429</v>
      </c>
      <c r="F44" s="9">
        <v>21631</v>
      </c>
      <c r="G44" s="9">
        <v>23636</v>
      </c>
      <c r="H44" s="9">
        <v>23636</v>
      </c>
      <c r="I44" s="9">
        <v>23636</v>
      </c>
      <c r="J44" s="9">
        <v>23636</v>
      </c>
      <c r="K44" s="9">
        <v>17311</v>
      </c>
      <c r="L44" s="9">
        <v>17311</v>
      </c>
      <c r="M44" s="9">
        <v>17311</v>
      </c>
      <c r="N44" s="9">
        <v>17311</v>
      </c>
      <c r="O44" s="9">
        <v>21238</v>
      </c>
      <c r="P44" s="9">
        <v>21238</v>
      </c>
      <c r="Q44" s="9">
        <v>21238</v>
      </c>
      <c r="R44" s="9">
        <v>21238</v>
      </c>
      <c r="S44" s="10">
        <v>0</v>
      </c>
      <c r="T44" s="10">
        <v>0</v>
      </c>
      <c r="U44" s="10">
        <v>0</v>
      </c>
      <c r="V44" s="10">
        <v>0</v>
      </c>
      <c r="W44" s="9">
        <v>2413</v>
      </c>
      <c r="X44" s="9">
        <v>2413</v>
      </c>
      <c r="Y44" s="9">
        <v>3013</v>
      </c>
      <c r="Z44" s="9">
        <v>3013</v>
      </c>
      <c r="AA44" s="10">
        <v>0</v>
      </c>
      <c r="AB44" s="10">
        <v>0</v>
      </c>
      <c r="AC44" s="10"/>
      <c r="AD44" s="10"/>
      <c r="AE44" s="10"/>
      <c r="AF44" s="10"/>
      <c r="AG44" s="10"/>
      <c r="AH44" s="10"/>
      <c r="AI44" s="9">
        <v>32798</v>
      </c>
      <c r="AJ44" s="9">
        <v>32798</v>
      </c>
      <c r="AK44" s="9">
        <v>32798</v>
      </c>
      <c r="AL44" s="9">
        <v>32798</v>
      </c>
      <c r="AM44" s="9">
        <v>76708</v>
      </c>
      <c r="AN44" s="9">
        <v>70441</v>
      </c>
      <c r="AO44" s="9">
        <v>64755</v>
      </c>
      <c r="AP44" s="9">
        <v>77851</v>
      </c>
      <c r="AQ44" s="9">
        <v>72470</v>
      </c>
      <c r="AR44" s="9">
        <v>104691</v>
      </c>
      <c r="AS44" s="9">
        <v>83309</v>
      </c>
      <c r="AT44" s="9">
        <v>60417</v>
      </c>
      <c r="AU44" s="9">
        <v>72726</v>
      </c>
      <c r="AV44" s="9">
        <v>99533</v>
      </c>
      <c r="AW44" s="9">
        <v>96456</v>
      </c>
    </row>
    <row r="45" spans="1:49" x14ac:dyDescent="0.25">
      <c r="A45" s="11" t="s">
        <v>42</v>
      </c>
      <c r="B45" s="9">
        <v>248119</v>
      </c>
      <c r="C45" s="9">
        <v>385960</v>
      </c>
      <c r="D45" s="9">
        <v>453370</v>
      </c>
      <c r="E45" s="9">
        <v>1004868</v>
      </c>
      <c r="F45" s="9">
        <v>1220431</v>
      </c>
      <c r="G45" s="9">
        <v>1423639</v>
      </c>
      <c r="H45" s="9">
        <v>2035867</v>
      </c>
      <c r="I45" s="9">
        <v>1449636</v>
      </c>
      <c r="J45" s="9">
        <v>1457815</v>
      </c>
      <c r="K45" s="9">
        <v>1510547</v>
      </c>
      <c r="L45" s="9">
        <v>1496492</v>
      </c>
      <c r="M45" s="9">
        <v>1506902</v>
      </c>
      <c r="N45" s="9">
        <v>1479521</v>
      </c>
      <c r="O45" s="9">
        <v>1455477</v>
      </c>
      <c r="P45" s="9">
        <v>1476628</v>
      </c>
      <c r="Q45" s="9">
        <v>1467852</v>
      </c>
      <c r="R45" s="9">
        <v>1496530</v>
      </c>
      <c r="S45" s="9">
        <v>1571947</v>
      </c>
      <c r="T45" s="9">
        <v>1630315</v>
      </c>
      <c r="U45" s="9">
        <v>1575175</v>
      </c>
      <c r="V45" s="9">
        <v>1585423</v>
      </c>
      <c r="W45" s="9">
        <v>1924402</v>
      </c>
      <c r="X45" s="9">
        <v>2001920</v>
      </c>
      <c r="Y45" s="9">
        <v>1990366</v>
      </c>
      <c r="Z45" s="9">
        <v>1949865</v>
      </c>
      <c r="AA45" s="9">
        <v>2019202</v>
      </c>
      <c r="AB45" s="9">
        <v>2005366</v>
      </c>
      <c r="AC45" s="9">
        <v>2047343</v>
      </c>
      <c r="AD45" s="9">
        <v>1843513</v>
      </c>
      <c r="AE45" s="9">
        <v>1966875</v>
      </c>
      <c r="AF45" s="9">
        <v>2039436</v>
      </c>
      <c r="AG45" s="9">
        <v>2096223</v>
      </c>
      <c r="AH45" s="9">
        <v>2152630</v>
      </c>
      <c r="AI45" s="9">
        <v>2331870</v>
      </c>
      <c r="AJ45" s="9">
        <v>2268877</v>
      </c>
      <c r="AK45" s="9">
        <v>2221680</v>
      </c>
      <c r="AL45" s="9">
        <v>2229469</v>
      </c>
      <c r="AM45" s="9">
        <v>2233415</v>
      </c>
      <c r="AN45" s="9">
        <v>2129185</v>
      </c>
      <c r="AO45" s="9">
        <v>2118270</v>
      </c>
      <c r="AP45" s="9">
        <v>2133049</v>
      </c>
      <c r="AQ45" s="9">
        <v>2234788</v>
      </c>
      <c r="AR45" s="9">
        <v>2231292</v>
      </c>
      <c r="AS45" s="9">
        <v>2229162</v>
      </c>
      <c r="AT45" s="9">
        <v>5809943</v>
      </c>
      <c r="AU45" s="9">
        <v>34866302</v>
      </c>
      <c r="AV45" s="9">
        <v>32763872</v>
      </c>
      <c r="AW45" s="9">
        <v>38601618</v>
      </c>
    </row>
    <row r="46" spans="1:49" x14ac:dyDescent="0.25">
      <c r="A46" s="12" t="s">
        <v>43</v>
      </c>
      <c r="B46" s="10"/>
      <c r="C46" s="10"/>
      <c r="D46" s="10"/>
      <c r="E46" s="9">
        <v>113330</v>
      </c>
      <c r="F46" s="9">
        <v>51921</v>
      </c>
      <c r="G46" s="9">
        <v>45140</v>
      </c>
      <c r="H46" s="9">
        <v>43699</v>
      </c>
      <c r="I46" s="9">
        <v>42259</v>
      </c>
      <c r="J46" s="9">
        <v>40818</v>
      </c>
      <c r="K46" s="9">
        <v>39377</v>
      </c>
      <c r="L46" s="9">
        <v>37937</v>
      </c>
      <c r="M46" s="9">
        <v>36496</v>
      </c>
      <c r="N46" s="9">
        <v>35055</v>
      </c>
      <c r="O46" s="9">
        <v>33615</v>
      </c>
      <c r="P46" s="9">
        <v>32174</v>
      </c>
      <c r="Q46" s="9">
        <v>30734</v>
      </c>
      <c r="R46" s="9">
        <v>29293</v>
      </c>
      <c r="S46" s="9">
        <v>27852</v>
      </c>
      <c r="T46" s="9">
        <v>26412</v>
      </c>
      <c r="U46" s="9">
        <v>24971</v>
      </c>
      <c r="V46" s="9">
        <v>23530</v>
      </c>
      <c r="W46" s="9">
        <v>22090</v>
      </c>
      <c r="X46" s="9">
        <v>20649</v>
      </c>
      <c r="Y46" s="9">
        <v>19208</v>
      </c>
      <c r="Z46" s="9">
        <v>17768</v>
      </c>
      <c r="AA46" s="9">
        <v>16327</v>
      </c>
      <c r="AB46" s="9">
        <v>14887</v>
      </c>
      <c r="AC46" s="9">
        <v>13446</v>
      </c>
      <c r="AD46" s="9">
        <v>12005</v>
      </c>
      <c r="AE46" s="9">
        <v>10565</v>
      </c>
      <c r="AF46" s="9">
        <v>9124</v>
      </c>
      <c r="AG46" s="9">
        <v>7683</v>
      </c>
      <c r="AH46" s="9">
        <v>6243</v>
      </c>
      <c r="AI46" s="9">
        <v>4799</v>
      </c>
      <c r="AJ46" s="9">
        <v>3358</v>
      </c>
      <c r="AK46" s="9">
        <v>1918</v>
      </c>
      <c r="AL46" s="10">
        <v>477</v>
      </c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9">
        <v>6320312</v>
      </c>
    </row>
    <row r="47" spans="1:49" x14ac:dyDescent="0.25">
      <c r="A47" s="8" t="s">
        <v>44</v>
      </c>
      <c r="B47" s="10"/>
      <c r="C47" s="9">
        <v>-7060</v>
      </c>
      <c r="D47" s="9">
        <v>-7060</v>
      </c>
      <c r="E47" s="9">
        <v>-18652</v>
      </c>
      <c r="F47" s="9">
        <v>-20014</v>
      </c>
      <c r="G47" s="9">
        <v>-38989</v>
      </c>
      <c r="H47" s="9">
        <v>-43039</v>
      </c>
      <c r="I47" s="9">
        <v>-41492</v>
      </c>
      <c r="J47" s="9">
        <v>-38989</v>
      </c>
      <c r="K47" s="9">
        <v>-35458</v>
      </c>
      <c r="L47" s="9">
        <v>-35458</v>
      </c>
      <c r="M47" s="9">
        <v>-35027</v>
      </c>
      <c r="N47" s="9">
        <v>-70907</v>
      </c>
      <c r="O47" s="9">
        <v>-60881</v>
      </c>
      <c r="P47" s="9">
        <v>-60974</v>
      </c>
      <c r="Q47" s="9">
        <v>-37521</v>
      </c>
      <c r="R47" s="9">
        <v>-39321</v>
      </c>
      <c r="S47" s="9">
        <v>-39321</v>
      </c>
      <c r="T47" s="9">
        <v>-39321</v>
      </c>
      <c r="U47" s="9">
        <v>-36490</v>
      </c>
      <c r="V47" s="9">
        <v>-36490</v>
      </c>
      <c r="W47" s="9">
        <v>-39593</v>
      </c>
      <c r="X47" s="9">
        <v>-39593</v>
      </c>
      <c r="Y47" s="9">
        <v>-39716</v>
      </c>
      <c r="Z47" s="9">
        <v>-39716</v>
      </c>
      <c r="AA47" s="9">
        <v>-39716</v>
      </c>
      <c r="AB47" s="9">
        <v>-39716</v>
      </c>
      <c r="AC47" s="9">
        <v>-42274</v>
      </c>
      <c r="AD47" s="9">
        <v>-42274</v>
      </c>
      <c r="AE47" s="9">
        <v>-43260</v>
      </c>
      <c r="AF47" s="9">
        <v>-43260</v>
      </c>
      <c r="AG47" s="9">
        <v>-44786</v>
      </c>
      <c r="AH47" s="9">
        <v>-44786</v>
      </c>
      <c r="AI47" s="9">
        <v>-46308</v>
      </c>
      <c r="AJ47" s="9">
        <v>-46308</v>
      </c>
      <c r="AK47" s="9">
        <v>-46249</v>
      </c>
      <c r="AL47" s="9">
        <v>-46249</v>
      </c>
      <c r="AM47" s="9">
        <v>-46521</v>
      </c>
      <c r="AN47" s="9">
        <v>-46521</v>
      </c>
      <c r="AO47" s="9">
        <v>-46579</v>
      </c>
      <c r="AP47" s="9">
        <v>-46579</v>
      </c>
      <c r="AQ47" s="9">
        <v>-46926</v>
      </c>
      <c r="AR47" s="9">
        <v>-46926</v>
      </c>
      <c r="AS47" s="9">
        <v>-47099</v>
      </c>
      <c r="AT47" s="9">
        <v>-53142</v>
      </c>
      <c r="AU47" s="9">
        <v>-54215</v>
      </c>
      <c r="AV47" s="9">
        <v>-54917</v>
      </c>
      <c r="AW47" s="9">
        <v>-139700</v>
      </c>
    </row>
    <row r="48" spans="1:49" x14ac:dyDescent="0.25">
      <c r="A48" s="13" t="s">
        <v>45</v>
      </c>
      <c r="B48" s="6">
        <v>34389227</v>
      </c>
      <c r="C48" s="6">
        <v>45025421</v>
      </c>
      <c r="D48" s="6">
        <v>52782831</v>
      </c>
      <c r="E48" s="6">
        <v>86226641</v>
      </c>
      <c r="F48" s="6">
        <v>99524603</v>
      </c>
      <c r="G48" s="6">
        <v>106485935</v>
      </c>
      <c r="H48" s="6">
        <v>118950018</v>
      </c>
      <c r="I48" s="6">
        <v>128983966</v>
      </c>
      <c r="J48" s="6">
        <v>138872460</v>
      </c>
      <c r="K48" s="6">
        <v>150294272</v>
      </c>
      <c r="L48" s="6">
        <v>163349249</v>
      </c>
      <c r="M48" s="6">
        <v>169528338</v>
      </c>
      <c r="N48" s="6">
        <v>174594270</v>
      </c>
      <c r="O48" s="6">
        <v>189334259</v>
      </c>
      <c r="P48" s="6">
        <v>190374307</v>
      </c>
      <c r="Q48" s="6">
        <v>191293246</v>
      </c>
      <c r="R48" s="6">
        <v>199380170</v>
      </c>
      <c r="S48" s="6">
        <v>216107406</v>
      </c>
      <c r="T48" s="6">
        <v>202562505</v>
      </c>
      <c r="U48" s="6">
        <v>210291471</v>
      </c>
      <c r="V48" s="6">
        <v>217245156</v>
      </c>
      <c r="W48" s="6">
        <v>229477262</v>
      </c>
      <c r="X48" s="6">
        <v>231773724</v>
      </c>
      <c r="Y48" s="6">
        <v>242445051</v>
      </c>
      <c r="Z48" s="6">
        <v>273289529</v>
      </c>
      <c r="AA48" s="6">
        <v>319127257</v>
      </c>
      <c r="AB48" s="6">
        <v>325821442</v>
      </c>
      <c r="AC48" s="6">
        <v>330969917</v>
      </c>
      <c r="AD48" s="6">
        <v>346355019</v>
      </c>
      <c r="AE48" s="6">
        <v>374611571</v>
      </c>
      <c r="AF48" s="6">
        <v>381046023</v>
      </c>
      <c r="AG48" s="6">
        <v>384266740</v>
      </c>
      <c r="AH48" s="6">
        <v>399152573</v>
      </c>
      <c r="AI48" s="6">
        <v>416273023</v>
      </c>
      <c r="AJ48" s="6">
        <v>458802678</v>
      </c>
      <c r="AK48" s="6">
        <v>483935823</v>
      </c>
      <c r="AL48" s="6">
        <v>508263253</v>
      </c>
      <c r="AM48" s="6">
        <v>602314859</v>
      </c>
      <c r="AN48" s="6">
        <v>602551570</v>
      </c>
      <c r="AO48" s="6">
        <v>624443499</v>
      </c>
      <c r="AP48" s="6">
        <v>629569112</v>
      </c>
      <c r="AQ48" s="6">
        <v>697280806</v>
      </c>
      <c r="AR48" s="6">
        <v>711310758</v>
      </c>
      <c r="AS48" s="6">
        <v>784096287</v>
      </c>
      <c r="AT48" s="6">
        <v>781937368</v>
      </c>
      <c r="AU48" s="6">
        <v>931101281</v>
      </c>
      <c r="AV48" s="6">
        <v>984216210</v>
      </c>
      <c r="AW48" s="6">
        <v>1043891774</v>
      </c>
    </row>
    <row r="49" spans="1:49" x14ac:dyDescent="0.25">
      <c r="A49" s="3" t="s">
        <v>46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6">
        <v>984216210</v>
      </c>
      <c r="AW49" s="6">
        <v>1043891774</v>
      </c>
    </row>
    <row r="50" spans="1:49" x14ac:dyDescent="0.25">
      <c r="A50" s="5" t="s">
        <v>47</v>
      </c>
      <c r="B50" s="6">
        <v>2182623</v>
      </c>
      <c r="C50" s="6">
        <v>1070277</v>
      </c>
      <c r="D50" s="6">
        <v>565532</v>
      </c>
      <c r="E50" s="6">
        <v>128173</v>
      </c>
      <c r="F50" s="6">
        <v>184195</v>
      </c>
      <c r="G50" s="6">
        <v>2488321</v>
      </c>
      <c r="H50" s="6">
        <v>261470</v>
      </c>
      <c r="I50" s="6">
        <v>221763</v>
      </c>
      <c r="J50" s="6">
        <v>192596</v>
      </c>
      <c r="K50" s="6">
        <v>177635</v>
      </c>
      <c r="L50" s="6">
        <v>2050776</v>
      </c>
      <c r="M50" s="6">
        <v>153157</v>
      </c>
      <c r="N50" s="6">
        <v>152470</v>
      </c>
      <c r="O50" s="6">
        <v>156253</v>
      </c>
      <c r="P50" s="6">
        <v>127488</v>
      </c>
      <c r="Q50" s="6">
        <v>131179</v>
      </c>
      <c r="R50" s="6">
        <v>2151945</v>
      </c>
      <c r="S50" s="6">
        <v>7911883</v>
      </c>
      <c r="T50" s="6">
        <v>2180507</v>
      </c>
      <c r="U50" s="6">
        <v>2167416</v>
      </c>
      <c r="V50" s="6">
        <v>2205063</v>
      </c>
      <c r="W50" s="6">
        <v>209151</v>
      </c>
      <c r="X50" s="6">
        <v>602990</v>
      </c>
      <c r="Y50" s="6">
        <v>181767</v>
      </c>
      <c r="Z50" s="6">
        <v>159657</v>
      </c>
      <c r="AA50" s="6">
        <v>142771</v>
      </c>
      <c r="AB50" s="6">
        <v>130009</v>
      </c>
      <c r="AC50" s="6">
        <v>117309</v>
      </c>
      <c r="AD50" s="6">
        <v>104874</v>
      </c>
      <c r="AE50" s="6">
        <v>92656</v>
      </c>
      <c r="AF50" s="6">
        <v>81615</v>
      </c>
      <c r="AG50" s="6">
        <v>69414</v>
      </c>
      <c r="AH50" s="6">
        <v>58565</v>
      </c>
      <c r="AI50" s="6">
        <v>10821258</v>
      </c>
      <c r="AJ50" s="6">
        <v>36079</v>
      </c>
      <c r="AK50" s="6">
        <v>30124</v>
      </c>
      <c r="AL50" s="6">
        <v>29829</v>
      </c>
      <c r="AM50" s="6">
        <v>26590</v>
      </c>
      <c r="AN50" s="6">
        <v>20159</v>
      </c>
      <c r="AO50" s="6">
        <v>20978</v>
      </c>
      <c r="AP50" s="6">
        <v>17920</v>
      </c>
      <c r="AQ50" s="6">
        <v>15434</v>
      </c>
      <c r="AR50" s="6">
        <v>27856</v>
      </c>
      <c r="AS50" s="6">
        <v>9952</v>
      </c>
      <c r="AT50" s="6">
        <v>9992</v>
      </c>
      <c r="AU50" s="6">
        <v>11425972</v>
      </c>
      <c r="AV50" s="6">
        <v>8253</v>
      </c>
      <c r="AW50" s="6">
        <v>5214</v>
      </c>
    </row>
    <row r="51" spans="1:49" x14ac:dyDescent="0.25">
      <c r="A51" s="7" t="s">
        <v>48</v>
      </c>
      <c r="B51" s="6">
        <v>7254530</v>
      </c>
      <c r="C51" s="6">
        <v>11684453</v>
      </c>
      <c r="D51" s="6">
        <v>7895374</v>
      </c>
      <c r="E51" s="6">
        <v>11289317</v>
      </c>
      <c r="F51" s="6">
        <v>19506708</v>
      </c>
      <c r="G51" s="6">
        <v>6594931</v>
      </c>
      <c r="H51" s="6">
        <v>8095321</v>
      </c>
      <c r="I51" s="6">
        <v>11741011</v>
      </c>
      <c r="J51" s="6">
        <v>14160842</v>
      </c>
      <c r="K51" s="6">
        <v>19684665</v>
      </c>
      <c r="L51" s="6">
        <v>20074349</v>
      </c>
      <c r="M51" s="6">
        <v>25107077</v>
      </c>
      <c r="N51" s="6">
        <v>27568310</v>
      </c>
      <c r="O51" s="6">
        <v>37217378</v>
      </c>
      <c r="P51" s="6">
        <v>41010855</v>
      </c>
      <c r="Q51" s="6">
        <v>26372072</v>
      </c>
      <c r="R51" s="6">
        <v>29656727</v>
      </c>
      <c r="S51" s="6">
        <v>40689261</v>
      </c>
      <c r="T51" s="6">
        <v>34233100</v>
      </c>
      <c r="U51" s="6">
        <v>33921883</v>
      </c>
      <c r="V51" s="6">
        <v>42943712</v>
      </c>
      <c r="W51" s="6">
        <v>45977699</v>
      </c>
      <c r="X51" s="6">
        <v>43244856</v>
      </c>
      <c r="Y51" s="6">
        <v>32358700</v>
      </c>
      <c r="Z51" s="6">
        <v>41769606</v>
      </c>
      <c r="AA51" s="6">
        <v>75175573</v>
      </c>
      <c r="AB51" s="6">
        <v>69869067</v>
      </c>
      <c r="AC51" s="6">
        <v>60258786</v>
      </c>
      <c r="AD51" s="6">
        <v>81351880</v>
      </c>
      <c r="AE51" s="6">
        <v>107242582</v>
      </c>
      <c r="AF51" s="6">
        <v>93473766</v>
      </c>
      <c r="AG51" s="6">
        <v>86186983</v>
      </c>
      <c r="AH51" s="6">
        <v>99636997</v>
      </c>
      <c r="AI51" s="6">
        <v>92653200</v>
      </c>
      <c r="AJ51" s="6">
        <v>97327589</v>
      </c>
      <c r="AK51" s="6">
        <v>62766342</v>
      </c>
      <c r="AL51" s="6">
        <v>51537699</v>
      </c>
      <c r="AM51" s="6">
        <v>112086978</v>
      </c>
      <c r="AN51" s="6">
        <v>107009010</v>
      </c>
      <c r="AO51" s="6">
        <v>118687414</v>
      </c>
      <c r="AP51" s="6">
        <v>92302927</v>
      </c>
      <c r="AQ51" s="6">
        <v>99460579</v>
      </c>
      <c r="AR51" s="6">
        <v>73678438</v>
      </c>
      <c r="AS51" s="6">
        <v>99269338</v>
      </c>
      <c r="AT51" s="6">
        <v>130268141</v>
      </c>
      <c r="AU51" s="6">
        <v>169207295</v>
      </c>
      <c r="AV51" s="6">
        <v>152777088</v>
      </c>
      <c r="AW51" s="6">
        <v>148377911</v>
      </c>
    </row>
    <row r="52" spans="1:49" x14ac:dyDescent="0.25">
      <c r="A52" s="8" t="s">
        <v>49</v>
      </c>
      <c r="B52" s="9">
        <v>7254530</v>
      </c>
      <c r="C52" s="9">
        <v>11684453</v>
      </c>
      <c r="D52" s="9">
        <v>3533223</v>
      </c>
      <c r="E52" s="9">
        <v>5494881</v>
      </c>
      <c r="F52" s="9">
        <v>9550114</v>
      </c>
      <c r="G52" s="9">
        <v>3031471</v>
      </c>
      <c r="H52" s="9">
        <v>4560343</v>
      </c>
      <c r="I52" s="9">
        <v>7577790</v>
      </c>
      <c r="J52" s="9">
        <v>9263662</v>
      </c>
      <c r="K52" s="9">
        <v>13621415</v>
      </c>
      <c r="L52" s="9">
        <v>14413792</v>
      </c>
      <c r="M52" s="9">
        <v>17593161</v>
      </c>
      <c r="N52" s="9">
        <v>9843179</v>
      </c>
      <c r="O52" s="9">
        <v>12244362</v>
      </c>
      <c r="P52" s="9">
        <v>21815737</v>
      </c>
      <c r="Q52" s="9">
        <v>15644989</v>
      </c>
      <c r="R52" s="9">
        <v>13812239</v>
      </c>
      <c r="S52" s="9">
        <v>22837748</v>
      </c>
      <c r="T52" s="9">
        <v>19308664</v>
      </c>
      <c r="U52" s="9">
        <v>18708086</v>
      </c>
      <c r="V52" s="9">
        <v>27328301</v>
      </c>
      <c r="W52" s="9">
        <v>26220754</v>
      </c>
      <c r="X52" s="9">
        <v>23268690</v>
      </c>
      <c r="Y52" s="9">
        <v>19128900</v>
      </c>
      <c r="Z52" s="9">
        <v>27299094</v>
      </c>
      <c r="AA52" s="9">
        <v>38994467</v>
      </c>
      <c r="AB52" s="9">
        <v>44790246</v>
      </c>
      <c r="AC52" s="9">
        <v>31820877</v>
      </c>
      <c r="AD52" s="9">
        <v>49979397</v>
      </c>
      <c r="AE52" s="9">
        <v>59851704</v>
      </c>
      <c r="AF52" s="9">
        <v>52734954</v>
      </c>
      <c r="AG52" s="9">
        <v>43214989</v>
      </c>
      <c r="AH52" s="9">
        <v>58216738</v>
      </c>
      <c r="AI52" s="9">
        <v>49440640</v>
      </c>
      <c r="AJ52" s="9">
        <v>53660498</v>
      </c>
      <c r="AK52" s="9">
        <v>23760794</v>
      </c>
      <c r="AL52" s="9">
        <v>5629709</v>
      </c>
      <c r="AM52" s="9">
        <v>62597686</v>
      </c>
      <c r="AN52" s="9">
        <v>55849303</v>
      </c>
      <c r="AO52" s="9">
        <v>72466681</v>
      </c>
      <c r="AP52" s="9">
        <v>61373222</v>
      </c>
      <c r="AQ52" s="9">
        <v>74877046</v>
      </c>
      <c r="AR52" s="9">
        <v>54797830</v>
      </c>
      <c r="AS52" s="9">
        <v>75267930</v>
      </c>
      <c r="AT52" s="9">
        <v>104143915</v>
      </c>
      <c r="AU52" s="9">
        <v>129408777</v>
      </c>
      <c r="AV52" s="9">
        <v>112188284</v>
      </c>
      <c r="AW52" s="9">
        <v>111667802</v>
      </c>
    </row>
    <row r="53" spans="1:49" x14ac:dyDescent="0.25">
      <c r="A53" s="8" t="s">
        <v>50</v>
      </c>
      <c r="B53" s="10"/>
      <c r="C53" s="10"/>
      <c r="D53" s="9">
        <v>4362151</v>
      </c>
      <c r="E53" s="9">
        <v>5794436</v>
      </c>
      <c r="F53" s="9">
        <v>9956594</v>
      </c>
      <c r="G53" s="9">
        <v>3563460</v>
      </c>
      <c r="H53" s="9">
        <v>3534978</v>
      </c>
      <c r="I53" s="9">
        <v>4163221</v>
      </c>
      <c r="J53" s="9">
        <v>4897180</v>
      </c>
      <c r="K53" s="9">
        <v>6063250</v>
      </c>
      <c r="L53" s="9">
        <v>5660557</v>
      </c>
      <c r="M53" s="9">
        <v>7513916</v>
      </c>
      <c r="N53" s="9">
        <v>17725131</v>
      </c>
      <c r="O53" s="9">
        <v>24973016</v>
      </c>
      <c r="P53" s="9">
        <v>19195118</v>
      </c>
      <c r="Q53" s="9">
        <v>10727083</v>
      </c>
      <c r="R53" s="9">
        <v>15844488</v>
      </c>
      <c r="S53" s="9">
        <v>17851513</v>
      </c>
      <c r="T53" s="9">
        <v>14924436</v>
      </c>
      <c r="U53" s="9">
        <v>15213797</v>
      </c>
      <c r="V53" s="9">
        <v>15615411</v>
      </c>
      <c r="W53" s="9">
        <v>19756945</v>
      </c>
      <c r="X53" s="9">
        <v>19976166</v>
      </c>
      <c r="Y53" s="9">
        <v>13229800</v>
      </c>
      <c r="Z53" s="9">
        <v>14470512</v>
      </c>
      <c r="AA53" s="9">
        <v>36181106</v>
      </c>
      <c r="AB53" s="9">
        <v>25078821</v>
      </c>
      <c r="AC53" s="9">
        <v>28437909</v>
      </c>
      <c r="AD53" s="9">
        <v>31372483</v>
      </c>
      <c r="AE53" s="9">
        <v>47390878</v>
      </c>
      <c r="AF53" s="9">
        <v>40738812</v>
      </c>
      <c r="AG53" s="9">
        <v>42971994</v>
      </c>
      <c r="AH53" s="9">
        <v>41420259</v>
      </c>
      <c r="AI53" s="9">
        <v>43212560</v>
      </c>
      <c r="AJ53" s="9">
        <v>43667091</v>
      </c>
      <c r="AK53" s="9">
        <v>39005548</v>
      </c>
      <c r="AL53" s="9">
        <v>45907990</v>
      </c>
      <c r="AM53" s="9">
        <v>49489292</v>
      </c>
      <c r="AN53" s="9">
        <v>51159707</v>
      </c>
      <c r="AO53" s="9">
        <v>46220733</v>
      </c>
      <c r="AP53" s="9">
        <v>30929705</v>
      </c>
      <c r="AQ53" s="9">
        <v>24583533</v>
      </c>
      <c r="AR53" s="9">
        <v>18880608</v>
      </c>
      <c r="AS53" s="9">
        <v>24001408</v>
      </c>
      <c r="AT53" s="9">
        <v>26124226</v>
      </c>
      <c r="AU53" s="9">
        <v>39798518</v>
      </c>
      <c r="AV53" s="9">
        <v>40588804</v>
      </c>
      <c r="AW53" s="9">
        <v>36710109</v>
      </c>
    </row>
    <row r="54" spans="1:49" x14ac:dyDescent="0.25">
      <c r="A54" s="5" t="s">
        <v>51</v>
      </c>
      <c r="B54" s="6">
        <v>13986213</v>
      </c>
      <c r="C54" s="6">
        <v>19089860</v>
      </c>
      <c r="D54" s="6">
        <v>34261860</v>
      </c>
      <c r="E54" s="6">
        <v>62383934</v>
      </c>
      <c r="F54" s="6">
        <v>65411576</v>
      </c>
      <c r="G54" s="6">
        <v>74542719</v>
      </c>
      <c r="H54" s="6">
        <v>86085606</v>
      </c>
      <c r="I54" s="6">
        <v>93167357</v>
      </c>
      <c r="J54" s="6">
        <v>97815709</v>
      </c>
      <c r="K54" s="6">
        <v>103299771</v>
      </c>
      <c r="L54" s="6">
        <v>112876523</v>
      </c>
      <c r="M54" s="6">
        <v>115710752</v>
      </c>
      <c r="N54" s="6">
        <v>118116320</v>
      </c>
      <c r="O54" s="6">
        <v>120537469</v>
      </c>
      <c r="P54" s="6">
        <v>117302099</v>
      </c>
      <c r="Q54" s="6">
        <v>126776964</v>
      </c>
      <c r="R54" s="6">
        <v>129966300</v>
      </c>
      <c r="S54" s="6">
        <v>128060094</v>
      </c>
      <c r="T54" s="6">
        <v>126694184</v>
      </c>
      <c r="U54" s="6">
        <v>130057580</v>
      </c>
      <c r="V54" s="6">
        <v>124917876</v>
      </c>
      <c r="W54" s="6">
        <v>126018576</v>
      </c>
      <c r="X54" s="6">
        <v>132822498</v>
      </c>
      <c r="Y54" s="6">
        <v>149805037</v>
      </c>
      <c r="Z54" s="6">
        <v>168443457</v>
      </c>
      <c r="AA54" s="6">
        <v>174620270</v>
      </c>
      <c r="AB54" s="6">
        <v>184987517</v>
      </c>
      <c r="AC54" s="6">
        <v>198533937</v>
      </c>
      <c r="AD54" s="6">
        <v>194429468</v>
      </c>
      <c r="AE54" s="6">
        <v>183283118</v>
      </c>
      <c r="AF54" s="6">
        <v>201490028</v>
      </c>
      <c r="AG54" s="6">
        <v>212520096</v>
      </c>
      <c r="AH54" s="6">
        <v>207780769</v>
      </c>
      <c r="AI54" s="6">
        <v>215797174</v>
      </c>
      <c r="AJ54" s="6">
        <v>249802943</v>
      </c>
      <c r="AK54" s="6">
        <v>309645137</v>
      </c>
      <c r="AL54" s="6">
        <v>341712982</v>
      </c>
      <c r="AM54" s="6">
        <v>370777888</v>
      </c>
      <c r="AN54" s="6">
        <v>378789084</v>
      </c>
      <c r="AO54" s="6">
        <v>386573343</v>
      </c>
      <c r="AP54" s="6">
        <v>397018666</v>
      </c>
      <c r="AQ54" s="6">
        <v>437505165</v>
      </c>
      <c r="AR54" s="6">
        <v>465321208</v>
      </c>
      <c r="AS54" s="6">
        <v>478700229</v>
      </c>
      <c r="AT54" s="6">
        <v>487862978</v>
      </c>
      <c r="AU54" s="6">
        <v>560714282</v>
      </c>
      <c r="AV54" s="6">
        <v>621548943</v>
      </c>
      <c r="AW54" s="6">
        <v>674058701</v>
      </c>
    </row>
    <row r="55" spans="1:49" x14ac:dyDescent="0.25">
      <c r="A55" s="5" t="s">
        <v>52</v>
      </c>
      <c r="B55" s="4"/>
      <c r="C55" s="6">
        <v>2790</v>
      </c>
      <c r="D55" s="4"/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6">
        <v>9326</v>
      </c>
      <c r="L55" s="4">
        <v>0</v>
      </c>
      <c r="M55" s="6">
        <v>88896</v>
      </c>
      <c r="N55" s="4">
        <v>0</v>
      </c>
      <c r="O55" s="6">
        <v>70098</v>
      </c>
      <c r="P55" s="4">
        <v>0</v>
      </c>
      <c r="Q55" s="4">
        <v>0</v>
      </c>
      <c r="R55" s="4">
        <v>0</v>
      </c>
      <c r="S55" s="4">
        <v>0</v>
      </c>
      <c r="T55" s="6">
        <v>2114</v>
      </c>
      <c r="U55" s="6">
        <v>30099</v>
      </c>
      <c r="V55" s="4">
        <v>0</v>
      </c>
      <c r="W55" s="6">
        <v>14262</v>
      </c>
      <c r="X55" s="6">
        <v>23069</v>
      </c>
      <c r="Y55" s="6">
        <v>52629</v>
      </c>
      <c r="Z55" s="6">
        <v>31072</v>
      </c>
      <c r="AA55" s="6">
        <v>215182</v>
      </c>
      <c r="AB55" s="4">
        <v>0</v>
      </c>
      <c r="AC55" s="4"/>
      <c r="AD55" s="4"/>
      <c r="AE55" s="6">
        <v>15550</v>
      </c>
      <c r="AF55" s="6">
        <v>45007</v>
      </c>
      <c r="AG55" s="4"/>
      <c r="AH55" s="6">
        <v>179100</v>
      </c>
      <c r="AI55" s="6">
        <v>226480</v>
      </c>
      <c r="AJ55" s="6">
        <v>76916</v>
      </c>
      <c r="AK55" s="4"/>
      <c r="AL55" s="6">
        <v>272222</v>
      </c>
      <c r="AM55" s="4"/>
      <c r="AN55" s="4"/>
      <c r="AO55" s="4"/>
      <c r="AP55" s="6">
        <v>113837</v>
      </c>
      <c r="AQ55" s="6">
        <v>18449</v>
      </c>
      <c r="AR55" s="6">
        <v>279539</v>
      </c>
      <c r="AS55" s="4"/>
      <c r="AT55" s="4"/>
      <c r="AU55" s="4">
        <v>427</v>
      </c>
      <c r="AV55" s="4"/>
      <c r="AW55" s="4"/>
    </row>
    <row r="56" spans="1:49" x14ac:dyDescent="0.25">
      <c r="A56" s="5" t="s">
        <v>53</v>
      </c>
      <c r="B56" s="4"/>
      <c r="C56" s="4"/>
      <c r="D56" s="4"/>
      <c r="E56" s="6">
        <v>116110</v>
      </c>
      <c r="F56" s="6">
        <v>42791</v>
      </c>
      <c r="G56" s="6">
        <v>2822563</v>
      </c>
      <c r="H56" s="6">
        <v>2818337</v>
      </c>
      <c r="I56" s="6">
        <v>2811847</v>
      </c>
      <c r="J56" s="6">
        <v>2817410</v>
      </c>
      <c r="K56" s="6">
        <v>2843432</v>
      </c>
      <c r="L56" s="6">
        <v>2868026</v>
      </c>
      <c r="M56" s="6">
        <v>2907267</v>
      </c>
      <c r="N56" s="6">
        <v>2928041</v>
      </c>
      <c r="O56" s="6">
        <v>2927741</v>
      </c>
      <c r="P56" s="6">
        <v>2947308</v>
      </c>
      <c r="Q56" s="6">
        <v>3008715</v>
      </c>
      <c r="R56" s="6">
        <v>3063519</v>
      </c>
      <c r="S56" s="6">
        <v>3045666</v>
      </c>
      <c r="T56" s="6">
        <v>3046889</v>
      </c>
      <c r="U56" s="6">
        <v>3059677</v>
      </c>
      <c r="V56" s="6">
        <v>3048112</v>
      </c>
      <c r="W56" s="6">
        <v>3043492</v>
      </c>
      <c r="X56" s="6">
        <v>3088121</v>
      </c>
      <c r="Y56" s="6">
        <v>3048933</v>
      </c>
      <c r="Z56" s="6">
        <v>3048436</v>
      </c>
      <c r="AA56" s="6">
        <v>3037163</v>
      </c>
      <c r="AB56" s="6">
        <v>3029863</v>
      </c>
      <c r="AC56" s="6">
        <v>3022568</v>
      </c>
      <c r="AD56" s="6">
        <v>2921231</v>
      </c>
      <c r="AE56" s="6">
        <v>2936864</v>
      </c>
      <c r="AF56" s="6">
        <v>2859595</v>
      </c>
      <c r="AG56" s="6">
        <v>2906854</v>
      </c>
      <c r="AH56" s="6">
        <v>2905881</v>
      </c>
      <c r="AI56" s="6">
        <v>2860155</v>
      </c>
      <c r="AJ56" s="6">
        <v>2791568</v>
      </c>
      <c r="AK56" s="6">
        <v>2800933</v>
      </c>
      <c r="AL56" s="6">
        <v>2811290</v>
      </c>
      <c r="AM56" s="6">
        <v>2811129</v>
      </c>
      <c r="AN56" s="6">
        <v>2796221</v>
      </c>
      <c r="AO56" s="6">
        <v>2856478</v>
      </c>
      <c r="AP56" s="6">
        <v>2698648</v>
      </c>
      <c r="AQ56" s="6">
        <v>2788443</v>
      </c>
      <c r="AR56" s="6">
        <v>2729948</v>
      </c>
      <c r="AS56" s="6">
        <v>2787202</v>
      </c>
      <c r="AT56" s="6">
        <v>2734577</v>
      </c>
      <c r="AU56" s="6">
        <v>2721952</v>
      </c>
      <c r="AV56" s="6">
        <v>2644604</v>
      </c>
      <c r="AW56" s="6">
        <v>2647188</v>
      </c>
    </row>
    <row r="57" spans="1:49" x14ac:dyDescent="0.25">
      <c r="A57" s="5" t="s">
        <v>54</v>
      </c>
      <c r="B57" s="6">
        <v>7071044</v>
      </c>
      <c r="C57" s="6">
        <v>7838230</v>
      </c>
      <c r="D57" s="6">
        <v>3644840</v>
      </c>
      <c r="E57" s="6">
        <v>2503000</v>
      </c>
      <c r="F57" s="6">
        <v>3580000</v>
      </c>
      <c r="G57" s="6">
        <v>7847000</v>
      </c>
      <c r="H57" s="6">
        <v>9097000</v>
      </c>
      <c r="I57" s="6">
        <v>8995000</v>
      </c>
      <c r="J57" s="6">
        <v>11086000</v>
      </c>
      <c r="K57" s="6">
        <v>11027014</v>
      </c>
      <c r="L57" s="6">
        <v>11754000</v>
      </c>
      <c r="M57" s="6">
        <v>11353000</v>
      </c>
      <c r="N57" s="6">
        <v>10582000</v>
      </c>
      <c r="O57" s="6">
        <v>9793000</v>
      </c>
      <c r="P57" s="6">
        <v>9446000</v>
      </c>
      <c r="Q57" s="6">
        <v>14410637</v>
      </c>
      <c r="R57" s="6">
        <v>14750000</v>
      </c>
      <c r="S57" s="6">
        <v>14927000</v>
      </c>
      <c r="T57" s="6">
        <v>14129681</v>
      </c>
      <c r="U57" s="6">
        <v>17746000</v>
      </c>
      <c r="V57" s="6">
        <v>20027400</v>
      </c>
      <c r="W57" s="6">
        <v>25013063</v>
      </c>
      <c r="X57" s="6">
        <v>25174063</v>
      </c>
      <c r="Y57" s="6">
        <v>28719063</v>
      </c>
      <c r="Z57" s="6">
        <v>29838063</v>
      </c>
      <c r="AA57" s="6">
        <v>34332257</v>
      </c>
      <c r="AB57" s="6">
        <v>34278134</v>
      </c>
      <c r="AC57" s="6">
        <v>33315209</v>
      </c>
      <c r="AD57" s="6">
        <v>30995597</v>
      </c>
      <c r="AE57" s="6">
        <v>42756113</v>
      </c>
      <c r="AF57" s="6">
        <v>42099369</v>
      </c>
      <c r="AG57" s="6">
        <v>39104392</v>
      </c>
      <c r="AH57" s="6">
        <v>42765762</v>
      </c>
      <c r="AI57" s="6">
        <v>44161640</v>
      </c>
      <c r="AJ57" s="6">
        <v>56238326</v>
      </c>
      <c r="AK57" s="6">
        <v>54880424</v>
      </c>
      <c r="AL57" s="6">
        <v>52132702</v>
      </c>
      <c r="AM57" s="6">
        <v>50938148</v>
      </c>
      <c r="AN57" s="6">
        <v>46301878</v>
      </c>
      <c r="AO57" s="6">
        <v>44592656</v>
      </c>
      <c r="AP57" s="6">
        <v>67367167</v>
      </c>
      <c r="AQ57" s="6">
        <v>81349745</v>
      </c>
      <c r="AR57" s="6">
        <v>88350608</v>
      </c>
      <c r="AS57" s="6">
        <v>83686176</v>
      </c>
      <c r="AT57" s="6">
        <v>74613874</v>
      </c>
      <c r="AU57" s="6">
        <v>87434265</v>
      </c>
      <c r="AV57" s="6">
        <v>103937859</v>
      </c>
      <c r="AW57" s="6">
        <v>107347997</v>
      </c>
    </row>
    <row r="58" spans="1:49" x14ac:dyDescent="0.25">
      <c r="A58" s="7" t="s">
        <v>55</v>
      </c>
      <c r="B58" s="6">
        <v>1537180</v>
      </c>
      <c r="C58" s="6">
        <v>1792179</v>
      </c>
      <c r="D58" s="6">
        <v>1021479</v>
      </c>
      <c r="E58" s="6">
        <v>1206559</v>
      </c>
      <c r="F58" s="6">
        <v>1600491</v>
      </c>
      <c r="G58" s="6">
        <v>2348722</v>
      </c>
      <c r="H58" s="6">
        <v>2493710</v>
      </c>
      <c r="I58" s="6">
        <v>2694017</v>
      </c>
      <c r="J58" s="6">
        <v>3144759</v>
      </c>
      <c r="K58" s="6">
        <v>3309786</v>
      </c>
      <c r="L58" s="6">
        <v>3478125</v>
      </c>
      <c r="M58" s="6">
        <v>3559344</v>
      </c>
      <c r="N58" s="6">
        <v>3960291</v>
      </c>
      <c r="O58" s="6">
        <v>3873229</v>
      </c>
      <c r="P58" s="6">
        <v>3761300</v>
      </c>
      <c r="Q58" s="6">
        <v>4017548</v>
      </c>
      <c r="R58" s="6">
        <v>3837117</v>
      </c>
      <c r="S58" s="6">
        <v>4645362</v>
      </c>
      <c r="T58" s="6">
        <v>4562871</v>
      </c>
      <c r="U58" s="6">
        <v>4705241</v>
      </c>
      <c r="V58" s="6">
        <v>4509219</v>
      </c>
      <c r="W58" s="6">
        <v>8819903</v>
      </c>
      <c r="X58" s="6">
        <v>5430318</v>
      </c>
      <c r="Y58" s="6">
        <v>5585080</v>
      </c>
      <c r="Z58" s="6">
        <v>6114076</v>
      </c>
      <c r="AA58" s="6">
        <v>6900216</v>
      </c>
      <c r="AB58" s="6">
        <v>7115380</v>
      </c>
      <c r="AC58" s="6">
        <v>7991652</v>
      </c>
      <c r="AD58" s="6">
        <v>7281841</v>
      </c>
      <c r="AE58" s="6">
        <v>7494576</v>
      </c>
      <c r="AF58" s="6">
        <v>8185158</v>
      </c>
      <c r="AG58" s="6">
        <v>8112010</v>
      </c>
      <c r="AH58" s="6">
        <v>8662834</v>
      </c>
      <c r="AI58" s="6">
        <v>10758230</v>
      </c>
      <c r="AJ58" s="6">
        <v>11701466</v>
      </c>
      <c r="AK58" s="6">
        <v>13336115</v>
      </c>
      <c r="AL58" s="6">
        <v>16740948</v>
      </c>
      <c r="AM58" s="6">
        <v>19273804</v>
      </c>
      <c r="AN58" s="6">
        <v>17934968</v>
      </c>
      <c r="AO58" s="6">
        <v>18886920</v>
      </c>
      <c r="AP58" s="6">
        <v>16465972</v>
      </c>
      <c r="AQ58" s="6">
        <v>19485490</v>
      </c>
      <c r="AR58" s="6">
        <v>19890624</v>
      </c>
      <c r="AS58" s="6">
        <v>55017027</v>
      </c>
      <c r="AT58" s="6">
        <v>18040753</v>
      </c>
      <c r="AU58" s="6">
        <v>21332484</v>
      </c>
      <c r="AV58" s="6">
        <v>20113455</v>
      </c>
      <c r="AW58" s="6">
        <v>21230742</v>
      </c>
    </row>
    <row r="59" spans="1:49" x14ac:dyDescent="0.25">
      <c r="A59" s="8" t="s">
        <v>56</v>
      </c>
      <c r="B59" s="9">
        <v>373859</v>
      </c>
      <c r="C59" s="9">
        <v>709792</v>
      </c>
      <c r="D59" s="9">
        <v>639453</v>
      </c>
      <c r="E59" s="9">
        <v>976257</v>
      </c>
      <c r="F59" s="9">
        <v>1216852</v>
      </c>
      <c r="G59" s="9">
        <v>1744418</v>
      </c>
      <c r="H59" s="9">
        <v>1900780</v>
      </c>
      <c r="I59" s="9">
        <v>1918512</v>
      </c>
      <c r="J59" s="9">
        <v>2076184</v>
      </c>
      <c r="K59" s="9">
        <v>2463250</v>
      </c>
      <c r="L59" s="9">
        <v>2692680</v>
      </c>
      <c r="M59" s="9">
        <v>2752689</v>
      </c>
      <c r="N59" s="9">
        <v>2724918</v>
      </c>
      <c r="O59" s="9">
        <v>2695865</v>
      </c>
      <c r="P59" s="9">
        <v>2631864</v>
      </c>
      <c r="Q59" s="9">
        <v>2632222</v>
      </c>
      <c r="R59" s="9">
        <v>2668235</v>
      </c>
      <c r="S59" s="9">
        <v>3143348</v>
      </c>
      <c r="T59" s="9">
        <v>3273374</v>
      </c>
      <c r="U59" s="9">
        <v>3232010</v>
      </c>
      <c r="V59" s="9">
        <v>3025099</v>
      </c>
      <c r="W59" s="9">
        <v>3249358</v>
      </c>
      <c r="X59" s="9">
        <v>3806030</v>
      </c>
      <c r="Y59" s="9">
        <v>3694316</v>
      </c>
      <c r="Z59" s="9">
        <v>4082498</v>
      </c>
      <c r="AA59" s="9">
        <v>4435108</v>
      </c>
      <c r="AB59" s="9">
        <v>4809515</v>
      </c>
      <c r="AC59" s="9">
        <v>4685501</v>
      </c>
      <c r="AD59" s="9">
        <v>4603048</v>
      </c>
      <c r="AE59" s="9">
        <v>4383088</v>
      </c>
      <c r="AF59" s="9">
        <v>4470513</v>
      </c>
      <c r="AG59" s="9">
        <v>4457819</v>
      </c>
      <c r="AH59" s="9">
        <v>4852600</v>
      </c>
      <c r="AI59" s="9">
        <v>5052933</v>
      </c>
      <c r="AJ59" s="9">
        <v>7051328</v>
      </c>
      <c r="AK59" s="9">
        <v>8269869</v>
      </c>
      <c r="AL59" s="9">
        <v>10050645</v>
      </c>
      <c r="AM59" s="9">
        <v>10346499</v>
      </c>
      <c r="AN59" s="9">
        <v>9640744</v>
      </c>
      <c r="AO59" s="9">
        <v>7661383</v>
      </c>
      <c r="AP59" s="9">
        <v>7459227</v>
      </c>
      <c r="AQ59" s="9">
        <v>8013166</v>
      </c>
      <c r="AR59" s="9">
        <v>10170072</v>
      </c>
      <c r="AS59" s="9">
        <v>11475643</v>
      </c>
      <c r="AT59" s="9">
        <v>10050623</v>
      </c>
      <c r="AU59" s="9">
        <v>9306729</v>
      </c>
      <c r="AV59" s="9">
        <v>9961321</v>
      </c>
      <c r="AW59" s="9">
        <v>13433892</v>
      </c>
    </row>
    <row r="60" spans="1:49" x14ac:dyDescent="0.25">
      <c r="A60" s="8" t="s">
        <v>57</v>
      </c>
      <c r="B60" s="10"/>
      <c r="C60" s="9">
        <v>2575</v>
      </c>
      <c r="D60" s="10">
        <v>24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9">
        <v>1585</v>
      </c>
      <c r="T60" s="9">
        <v>1585</v>
      </c>
      <c r="U60" s="10">
        <v>851</v>
      </c>
      <c r="V60" s="10">
        <v>851</v>
      </c>
      <c r="W60" s="10">
        <v>0</v>
      </c>
      <c r="X60" s="10">
        <v>0</v>
      </c>
      <c r="Y60" s="10">
        <v>0</v>
      </c>
      <c r="Z60" s="10">
        <v>0</v>
      </c>
      <c r="AA60" s="9">
        <v>4664</v>
      </c>
      <c r="AB60" s="9">
        <v>4664</v>
      </c>
      <c r="AC60" s="9">
        <v>4664</v>
      </c>
      <c r="AD60" s="9">
        <v>4664</v>
      </c>
      <c r="AE60" s="10">
        <v>602</v>
      </c>
      <c r="AF60" s="10">
        <v>602</v>
      </c>
      <c r="AG60" s="10">
        <v>602</v>
      </c>
      <c r="AH60" s="10">
        <v>602</v>
      </c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spans="1:49" x14ac:dyDescent="0.25">
      <c r="A61" s="8" t="s">
        <v>58</v>
      </c>
      <c r="B61" s="9">
        <v>1154701</v>
      </c>
      <c r="C61" s="9">
        <v>1073627</v>
      </c>
      <c r="D61" s="9">
        <v>375742</v>
      </c>
      <c r="E61" s="9">
        <v>211774</v>
      </c>
      <c r="F61" s="9">
        <v>383639</v>
      </c>
      <c r="G61" s="9">
        <v>604304</v>
      </c>
      <c r="H61" s="9">
        <v>592930</v>
      </c>
      <c r="I61" s="9">
        <v>775505</v>
      </c>
      <c r="J61" s="9">
        <v>1068575</v>
      </c>
      <c r="K61" s="9">
        <v>846536</v>
      </c>
      <c r="L61" s="9">
        <v>785445</v>
      </c>
      <c r="M61" s="9">
        <v>806655</v>
      </c>
      <c r="N61" s="9">
        <v>1235373</v>
      </c>
      <c r="O61" s="9">
        <v>1177364</v>
      </c>
      <c r="P61" s="9">
        <v>1129436</v>
      </c>
      <c r="Q61" s="9">
        <v>1385326</v>
      </c>
      <c r="R61" s="9">
        <v>1168882</v>
      </c>
      <c r="S61" s="9">
        <v>1500429</v>
      </c>
      <c r="T61" s="9">
        <v>1287912</v>
      </c>
      <c r="U61" s="10">
        <v>0</v>
      </c>
      <c r="V61" s="9">
        <v>1483269</v>
      </c>
      <c r="W61" s="9">
        <v>5570545</v>
      </c>
      <c r="X61" s="9">
        <v>1624288</v>
      </c>
      <c r="Y61" s="9">
        <v>1890764</v>
      </c>
      <c r="Z61" s="9">
        <v>2031578</v>
      </c>
      <c r="AA61" s="9">
        <v>2460444</v>
      </c>
      <c r="AB61" s="9">
        <v>2301201</v>
      </c>
      <c r="AC61" s="9">
        <v>3301487</v>
      </c>
      <c r="AD61" s="9">
        <v>2674129</v>
      </c>
      <c r="AE61" s="9">
        <v>3110886</v>
      </c>
      <c r="AF61" s="9">
        <v>3714043</v>
      </c>
      <c r="AG61" s="9">
        <v>3653589</v>
      </c>
      <c r="AH61" s="9">
        <v>3809632</v>
      </c>
      <c r="AI61" s="9">
        <v>5705297</v>
      </c>
      <c r="AJ61" s="9">
        <v>4650138</v>
      </c>
      <c r="AK61" s="9">
        <v>5066246</v>
      </c>
      <c r="AL61" s="9">
        <v>6690303</v>
      </c>
      <c r="AM61" s="9">
        <v>8927305</v>
      </c>
      <c r="AN61" s="9">
        <v>8294224</v>
      </c>
      <c r="AO61" s="9">
        <v>11225537</v>
      </c>
      <c r="AP61" s="9">
        <v>9006745</v>
      </c>
      <c r="AQ61" s="9">
        <v>11472324</v>
      </c>
      <c r="AR61" s="9">
        <v>9720552</v>
      </c>
      <c r="AS61" s="9">
        <v>43541384</v>
      </c>
      <c r="AT61" s="9">
        <v>7990130</v>
      </c>
      <c r="AU61" s="9">
        <v>12025755</v>
      </c>
      <c r="AV61" s="9">
        <v>10152134</v>
      </c>
      <c r="AW61" s="9">
        <v>7796850</v>
      </c>
    </row>
    <row r="62" spans="1:49" x14ac:dyDescent="0.25">
      <c r="A62" s="8" t="s">
        <v>59</v>
      </c>
      <c r="B62" s="9">
        <v>8620</v>
      </c>
      <c r="C62" s="9">
        <v>6185</v>
      </c>
      <c r="D62" s="9">
        <v>6260</v>
      </c>
      <c r="E62" s="9">
        <v>18528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9">
        <v>1472380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spans="1:49" x14ac:dyDescent="0.25">
      <c r="A63" s="7" t="s">
        <v>60</v>
      </c>
      <c r="B63" s="6">
        <v>2357637</v>
      </c>
      <c r="C63" s="6">
        <v>3547632</v>
      </c>
      <c r="D63" s="6">
        <v>5393746</v>
      </c>
      <c r="E63" s="6">
        <v>8599548</v>
      </c>
      <c r="F63" s="6">
        <v>8874048</v>
      </c>
      <c r="G63" s="6">
        <v>9392415</v>
      </c>
      <c r="H63" s="6">
        <v>9613548</v>
      </c>
      <c r="I63" s="6">
        <v>8824812</v>
      </c>
      <c r="J63" s="6">
        <v>9077560</v>
      </c>
      <c r="K63" s="6">
        <v>9317013</v>
      </c>
      <c r="L63" s="6">
        <v>9579382</v>
      </c>
      <c r="M63" s="6">
        <v>9929002</v>
      </c>
      <c r="N63" s="6">
        <v>10671435</v>
      </c>
      <c r="O63" s="6">
        <v>14075542</v>
      </c>
      <c r="P63" s="6">
        <v>14869054</v>
      </c>
      <c r="Q63" s="6">
        <v>15584058</v>
      </c>
      <c r="R63" s="6">
        <v>14873994</v>
      </c>
      <c r="S63" s="6">
        <v>15635164</v>
      </c>
      <c r="T63" s="6">
        <v>16440279</v>
      </c>
      <c r="U63" s="6">
        <v>17220692</v>
      </c>
      <c r="V63" s="6">
        <v>18120533</v>
      </c>
      <c r="W63" s="6">
        <v>19072572</v>
      </c>
      <c r="X63" s="6">
        <v>19666589</v>
      </c>
      <c r="Y63" s="6">
        <v>20862774</v>
      </c>
      <c r="Z63" s="6">
        <v>21966719</v>
      </c>
      <c r="AA63" s="6">
        <v>22997133</v>
      </c>
      <c r="AB63" s="6">
        <v>24588053</v>
      </c>
      <c r="AC63" s="6">
        <v>26137441</v>
      </c>
      <c r="AD63" s="6">
        <v>27595140</v>
      </c>
      <c r="AE63" s="6">
        <v>29033441</v>
      </c>
      <c r="AF63" s="6">
        <v>30952773</v>
      </c>
      <c r="AG63" s="6">
        <v>33192313</v>
      </c>
      <c r="AH63" s="6">
        <v>35184486</v>
      </c>
      <c r="AI63" s="6">
        <v>36953538</v>
      </c>
      <c r="AJ63" s="6">
        <v>39055741</v>
      </c>
      <c r="AK63" s="6">
        <v>38683723</v>
      </c>
      <c r="AL63" s="6">
        <v>41197838</v>
      </c>
      <c r="AM63" s="6">
        <v>44468859</v>
      </c>
      <c r="AN63" s="6">
        <v>47665387</v>
      </c>
      <c r="AO63" s="6">
        <v>50653886</v>
      </c>
      <c r="AP63" s="6">
        <v>51290391</v>
      </c>
      <c r="AQ63" s="6">
        <v>54491343</v>
      </c>
      <c r="AR63" s="6">
        <v>58743461</v>
      </c>
      <c r="AS63" s="6">
        <v>62176088</v>
      </c>
      <c r="AT63" s="6">
        <v>65804599</v>
      </c>
      <c r="AU63" s="6">
        <v>75549212</v>
      </c>
      <c r="AV63" s="6">
        <v>80335118</v>
      </c>
      <c r="AW63" s="6">
        <v>85844256</v>
      </c>
    </row>
    <row r="64" spans="1:49" x14ac:dyDescent="0.25">
      <c r="A64" s="11" t="s">
        <v>61</v>
      </c>
      <c r="B64" s="9">
        <v>2004043</v>
      </c>
      <c r="C64" s="9">
        <v>3004043</v>
      </c>
      <c r="D64" s="9">
        <v>5004043</v>
      </c>
      <c r="E64" s="9">
        <v>8104686</v>
      </c>
      <c r="F64" s="9">
        <v>8104686</v>
      </c>
      <c r="G64" s="9">
        <v>8104686</v>
      </c>
      <c r="H64" s="9">
        <v>8104686</v>
      </c>
      <c r="I64" s="9">
        <v>8104686</v>
      </c>
      <c r="J64" s="9">
        <v>8104686</v>
      </c>
      <c r="K64" s="9">
        <v>8104686</v>
      </c>
      <c r="L64" s="9">
        <v>8104686</v>
      </c>
      <c r="M64" s="9">
        <v>8104686</v>
      </c>
      <c r="N64" s="9">
        <v>8104686</v>
      </c>
      <c r="O64" s="9">
        <v>11852342</v>
      </c>
      <c r="P64" s="9">
        <v>11852342</v>
      </c>
      <c r="Q64" s="9">
        <v>11852342</v>
      </c>
      <c r="R64" s="9">
        <v>11852342</v>
      </c>
      <c r="S64" s="9">
        <v>11852342</v>
      </c>
      <c r="T64" s="9">
        <v>11852342</v>
      </c>
      <c r="U64" s="9">
        <v>11852342</v>
      </c>
      <c r="V64" s="9">
        <v>11852342</v>
      </c>
      <c r="W64" s="9">
        <v>11693415</v>
      </c>
      <c r="X64" s="9">
        <v>11381661</v>
      </c>
      <c r="Y64" s="9">
        <v>11381507</v>
      </c>
      <c r="Z64" s="9">
        <v>11381507</v>
      </c>
      <c r="AA64" s="9">
        <v>16211085</v>
      </c>
      <c r="AB64" s="9">
        <v>16211085</v>
      </c>
      <c r="AC64" s="9">
        <v>16211085</v>
      </c>
      <c r="AD64" s="9">
        <v>16211085</v>
      </c>
      <c r="AE64" s="9">
        <v>20195503</v>
      </c>
      <c r="AF64" s="9">
        <v>20195503</v>
      </c>
      <c r="AG64" s="9">
        <v>20395503</v>
      </c>
      <c r="AH64" s="9">
        <v>20395503</v>
      </c>
      <c r="AI64" s="9">
        <v>25426026</v>
      </c>
      <c r="AJ64" s="9">
        <v>25426026</v>
      </c>
      <c r="AK64" s="9">
        <v>25426026</v>
      </c>
      <c r="AL64" s="9">
        <v>29198918</v>
      </c>
      <c r="AM64" s="9">
        <v>29198918</v>
      </c>
      <c r="AN64" s="9">
        <v>29198918</v>
      </c>
      <c r="AO64" s="9">
        <v>29198918</v>
      </c>
      <c r="AP64" s="9">
        <v>29198918</v>
      </c>
      <c r="AQ64" s="9">
        <v>35224020</v>
      </c>
      <c r="AR64" s="9">
        <v>35224020</v>
      </c>
      <c r="AS64" s="9">
        <v>35224020</v>
      </c>
      <c r="AT64" s="9">
        <v>35224020</v>
      </c>
      <c r="AU64" s="9">
        <v>51327726</v>
      </c>
      <c r="AV64" s="9">
        <v>51327726</v>
      </c>
      <c r="AW64" s="9">
        <v>51327709</v>
      </c>
    </row>
    <row r="65" spans="1:49" x14ac:dyDescent="0.25">
      <c r="A65" s="12" t="s">
        <v>62</v>
      </c>
      <c r="B65" s="9">
        <v>2000000</v>
      </c>
      <c r="C65" s="9">
        <v>3000000</v>
      </c>
      <c r="D65" s="9">
        <v>5000000</v>
      </c>
      <c r="E65" s="9">
        <v>8100000</v>
      </c>
      <c r="F65" s="9">
        <v>8100000</v>
      </c>
      <c r="G65" s="9">
        <v>8100000</v>
      </c>
      <c r="H65" s="9">
        <v>8100000</v>
      </c>
      <c r="I65" s="9">
        <v>8100000</v>
      </c>
      <c r="J65" s="9">
        <v>8100000</v>
      </c>
      <c r="K65" s="9">
        <v>8100000</v>
      </c>
      <c r="L65" s="9">
        <v>8100000</v>
      </c>
      <c r="M65" s="9">
        <v>8100000</v>
      </c>
      <c r="N65" s="9">
        <v>8100000</v>
      </c>
      <c r="O65" s="9">
        <v>9810000</v>
      </c>
      <c r="P65" s="9">
        <v>9810000</v>
      </c>
      <c r="Q65" s="9">
        <v>9810000</v>
      </c>
      <c r="R65" s="9">
        <v>9810000</v>
      </c>
      <c r="S65" s="9">
        <v>9810000</v>
      </c>
      <c r="T65" s="9">
        <v>9810000</v>
      </c>
      <c r="U65" s="9">
        <v>9810000</v>
      </c>
      <c r="V65" s="9">
        <v>9810000</v>
      </c>
      <c r="W65" s="9">
        <v>9810000</v>
      </c>
      <c r="X65" s="9">
        <v>9810000</v>
      </c>
      <c r="Y65" s="9">
        <v>9810000</v>
      </c>
      <c r="Z65" s="9">
        <v>9810000</v>
      </c>
      <c r="AA65" s="9">
        <v>16088488</v>
      </c>
      <c r="AB65" s="9">
        <v>16088488</v>
      </c>
      <c r="AC65" s="9">
        <v>16088488</v>
      </c>
      <c r="AD65" s="9">
        <v>16088488</v>
      </c>
      <c r="AE65" s="9">
        <v>20072906</v>
      </c>
      <c r="AF65" s="9">
        <v>20072906</v>
      </c>
      <c r="AG65" s="9">
        <v>20272906</v>
      </c>
      <c r="AH65" s="9">
        <v>20272906</v>
      </c>
      <c r="AI65" s="9">
        <v>25303429</v>
      </c>
      <c r="AJ65" s="9">
        <v>25303429</v>
      </c>
      <c r="AK65" s="9">
        <v>25303429</v>
      </c>
      <c r="AL65" s="9">
        <v>29076321</v>
      </c>
      <c r="AM65" s="9">
        <v>29076321</v>
      </c>
      <c r="AN65" s="9">
        <v>29076321</v>
      </c>
      <c r="AO65" s="9">
        <v>29076321</v>
      </c>
      <c r="AP65" s="9">
        <v>29076321</v>
      </c>
      <c r="AQ65" s="9">
        <v>35101423</v>
      </c>
      <c r="AR65" s="9">
        <v>35101423</v>
      </c>
      <c r="AS65" s="9">
        <v>35101423</v>
      </c>
      <c r="AT65" s="9">
        <v>35101423</v>
      </c>
      <c r="AU65" s="9">
        <v>50052763</v>
      </c>
      <c r="AV65" s="9">
        <v>50052763</v>
      </c>
      <c r="AW65" s="9">
        <v>50052763</v>
      </c>
    </row>
    <row r="66" spans="1:49" x14ac:dyDescent="0.25">
      <c r="A66" s="12" t="s">
        <v>63</v>
      </c>
      <c r="B66" s="10"/>
      <c r="C66" s="10"/>
      <c r="D66" s="10"/>
      <c r="E66" s="10">
        <v>89</v>
      </c>
      <c r="F66" s="10">
        <v>89</v>
      </c>
      <c r="G66" s="10">
        <v>89</v>
      </c>
      <c r="H66" s="10">
        <v>89</v>
      </c>
      <c r="I66" s="10">
        <v>89</v>
      </c>
      <c r="J66" s="10">
        <v>89</v>
      </c>
      <c r="K66" s="10">
        <v>89</v>
      </c>
      <c r="L66" s="10">
        <v>89</v>
      </c>
      <c r="M66" s="10">
        <v>89</v>
      </c>
      <c r="N66" s="10">
        <v>89</v>
      </c>
      <c r="O66" s="10">
        <v>89</v>
      </c>
      <c r="P66" s="10">
        <v>89</v>
      </c>
      <c r="Q66" s="10">
        <v>89</v>
      </c>
      <c r="R66" s="10">
        <v>89</v>
      </c>
      <c r="S66" s="10">
        <v>89</v>
      </c>
      <c r="T66" s="10">
        <v>89</v>
      </c>
      <c r="U66" s="10">
        <v>89</v>
      </c>
      <c r="V66" s="10">
        <v>89</v>
      </c>
      <c r="W66" s="10">
        <v>89</v>
      </c>
      <c r="X66" s="10">
        <v>89</v>
      </c>
      <c r="Y66" s="10">
        <v>89</v>
      </c>
      <c r="Z66" s="10">
        <v>89</v>
      </c>
      <c r="AA66" s="10">
        <v>89</v>
      </c>
      <c r="AB66" s="10">
        <v>89</v>
      </c>
      <c r="AC66" s="10">
        <v>89</v>
      </c>
      <c r="AD66" s="10">
        <v>89</v>
      </c>
      <c r="AE66" s="10">
        <v>89</v>
      </c>
      <c r="AF66" s="10">
        <v>89</v>
      </c>
      <c r="AG66" s="10">
        <v>89</v>
      </c>
      <c r="AH66" s="10">
        <v>89</v>
      </c>
      <c r="AI66" s="10">
        <v>89</v>
      </c>
      <c r="AJ66" s="10">
        <v>89</v>
      </c>
      <c r="AK66" s="10">
        <v>89</v>
      </c>
      <c r="AL66" s="10">
        <v>89</v>
      </c>
      <c r="AM66" s="10">
        <v>89</v>
      </c>
      <c r="AN66" s="10">
        <v>89</v>
      </c>
      <c r="AO66" s="10">
        <v>89</v>
      </c>
      <c r="AP66" s="10">
        <v>89</v>
      </c>
      <c r="AQ66" s="10">
        <v>89</v>
      </c>
      <c r="AR66" s="10">
        <v>89</v>
      </c>
      <c r="AS66" s="10">
        <v>89</v>
      </c>
      <c r="AT66" s="10">
        <v>89</v>
      </c>
      <c r="AU66" s="10">
        <v>89</v>
      </c>
      <c r="AV66" s="10">
        <v>89</v>
      </c>
      <c r="AW66" s="10">
        <v>89</v>
      </c>
    </row>
    <row r="67" spans="1:49" x14ac:dyDescent="0.25">
      <c r="A67" s="12" t="s">
        <v>64</v>
      </c>
      <c r="B67" s="9">
        <v>4043</v>
      </c>
      <c r="C67" s="9">
        <v>4043</v>
      </c>
      <c r="D67" s="9">
        <v>4043</v>
      </c>
      <c r="E67" s="9">
        <v>4599</v>
      </c>
      <c r="F67" s="9">
        <v>4599</v>
      </c>
      <c r="G67" s="9">
        <v>4599</v>
      </c>
      <c r="H67" s="9">
        <v>4599</v>
      </c>
      <c r="I67" s="9">
        <v>4599</v>
      </c>
      <c r="J67" s="9">
        <v>4599</v>
      </c>
      <c r="K67" s="9">
        <v>4599</v>
      </c>
      <c r="L67" s="9">
        <v>4599</v>
      </c>
      <c r="M67" s="9">
        <v>4599</v>
      </c>
      <c r="N67" s="9">
        <v>4599</v>
      </c>
      <c r="O67" s="9">
        <v>2042255</v>
      </c>
      <c r="P67" s="9">
        <v>2042255</v>
      </c>
      <c r="Q67" s="9">
        <v>2042255</v>
      </c>
      <c r="R67" s="9">
        <v>2042255</v>
      </c>
      <c r="S67" s="9">
        <v>2042255</v>
      </c>
      <c r="T67" s="9">
        <v>2042255</v>
      </c>
      <c r="U67" s="9">
        <v>2042255</v>
      </c>
      <c r="V67" s="9">
        <v>2042255</v>
      </c>
      <c r="W67" s="9">
        <v>2042255</v>
      </c>
      <c r="X67" s="9">
        <v>1984937</v>
      </c>
      <c r="Y67" s="9">
        <v>1984838</v>
      </c>
      <c r="Z67" s="9">
        <v>1984838</v>
      </c>
      <c r="AA67" s="9">
        <v>535956</v>
      </c>
      <c r="AB67" s="9">
        <v>535956</v>
      </c>
      <c r="AC67" s="9">
        <v>535956</v>
      </c>
      <c r="AD67" s="9">
        <v>535956</v>
      </c>
      <c r="AE67" s="9">
        <v>535956</v>
      </c>
      <c r="AF67" s="9">
        <v>535956</v>
      </c>
      <c r="AG67" s="9">
        <v>535956</v>
      </c>
      <c r="AH67" s="9">
        <v>535956</v>
      </c>
      <c r="AI67" s="9">
        <v>535956</v>
      </c>
      <c r="AJ67" s="9">
        <v>535956</v>
      </c>
      <c r="AK67" s="9">
        <v>535956</v>
      </c>
      <c r="AL67" s="9">
        <v>535956</v>
      </c>
      <c r="AM67" s="9">
        <v>535956</v>
      </c>
      <c r="AN67" s="9">
        <v>535956</v>
      </c>
      <c r="AO67" s="9">
        <v>535956</v>
      </c>
      <c r="AP67" s="9">
        <v>535956</v>
      </c>
      <c r="AQ67" s="9">
        <v>535956</v>
      </c>
      <c r="AR67" s="9">
        <v>535956</v>
      </c>
      <c r="AS67" s="9">
        <v>535956</v>
      </c>
      <c r="AT67" s="9">
        <v>535956</v>
      </c>
      <c r="AU67" s="9">
        <v>1274874</v>
      </c>
      <c r="AV67" s="9">
        <v>1274874</v>
      </c>
      <c r="AW67" s="9">
        <v>1274857</v>
      </c>
    </row>
    <row r="68" spans="1:49" x14ac:dyDescent="0.25">
      <c r="A68" s="12" t="s">
        <v>65</v>
      </c>
      <c r="B68" s="10"/>
      <c r="C68" s="10"/>
      <c r="D68" s="10"/>
      <c r="E68" s="10">
        <v>-2</v>
      </c>
      <c r="F68" s="10">
        <v>-2</v>
      </c>
      <c r="G68" s="10">
        <v>-2</v>
      </c>
      <c r="H68" s="10">
        <v>-2</v>
      </c>
      <c r="I68" s="10">
        <v>-2</v>
      </c>
      <c r="J68" s="10">
        <v>-2</v>
      </c>
      <c r="K68" s="10">
        <v>-2</v>
      </c>
      <c r="L68" s="10">
        <v>-2</v>
      </c>
      <c r="M68" s="10">
        <v>-2</v>
      </c>
      <c r="N68" s="10">
        <v>-2</v>
      </c>
      <c r="O68" s="10">
        <v>-2</v>
      </c>
      <c r="P68" s="10">
        <v>-2</v>
      </c>
      <c r="Q68" s="10">
        <v>-2</v>
      </c>
      <c r="R68" s="10">
        <v>-2</v>
      </c>
      <c r="S68" s="10">
        <v>-2</v>
      </c>
      <c r="T68" s="10">
        <v>-2</v>
      </c>
      <c r="U68" s="10">
        <v>-2</v>
      </c>
      <c r="V68" s="10">
        <v>-2</v>
      </c>
      <c r="W68" s="9">
        <v>-158929</v>
      </c>
      <c r="X68" s="9">
        <v>-413365</v>
      </c>
      <c r="Y68" s="9">
        <v>-413420</v>
      </c>
      <c r="Z68" s="9">
        <v>-413420</v>
      </c>
      <c r="AA68" s="9">
        <v>-413448</v>
      </c>
      <c r="AB68" s="9">
        <v>-413448</v>
      </c>
      <c r="AC68" s="9">
        <v>-413448</v>
      </c>
      <c r="AD68" s="10">
        <v>-413448</v>
      </c>
      <c r="AE68" s="9">
        <v>-413448</v>
      </c>
      <c r="AF68" s="9">
        <v>-413448</v>
      </c>
      <c r="AG68" s="9">
        <v>-413448</v>
      </c>
      <c r="AH68" s="9">
        <v>-413448</v>
      </c>
      <c r="AI68" s="9">
        <v>-413448</v>
      </c>
      <c r="AJ68" s="9">
        <v>-413448</v>
      </c>
      <c r="AK68" s="9">
        <v>-413448</v>
      </c>
      <c r="AL68" s="9">
        <v>-413448</v>
      </c>
      <c r="AM68" s="9">
        <v>-413448</v>
      </c>
      <c r="AN68" s="9">
        <v>-413448</v>
      </c>
      <c r="AO68" s="9">
        <v>-413448</v>
      </c>
      <c r="AP68" s="9">
        <v>-413448</v>
      </c>
      <c r="AQ68" s="9">
        <v>-413448</v>
      </c>
      <c r="AR68" s="9">
        <v>-413448</v>
      </c>
      <c r="AS68" s="9">
        <v>-413448</v>
      </c>
      <c r="AT68" s="9">
        <v>-413448</v>
      </c>
      <c r="AU68" s="10"/>
      <c r="AV68" s="10"/>
      <c r="AW68" s="10"/>
    </row>
    <row r="69" spans="1:49" x14ac:dyDescent="0.25">
      <c r="A69" s="12" t="s">
        <v>66</v>
      </c>
      <c r="B69" s="10"/>
      <c r="C69" s="10"/>
      <c r="D69" s="10"/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x14ac:dyDescent="0.25">
      <c r="A70" s="12" t="s">
        <v>67</v>
      </c>
      <c r="B70" s="10"/>
      <c r="C70" s="10"/>
      <c r="D70" s="10"/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x14ac:dyDescent="0.25">
      <c r="A71" s="8" t="s">
        <v>68</v>
      </c>
      <c r="B71" s="9">
        <v>69671</v>
      </c>
      <c r="C71" s="9">
        <v>90731</v>
      </c>
      <c r="D71" s="9">
        <v>53299</v>
      </c>
      <c r="E71" s="9">
        <v>211531</v>
      </c>
      <c r="F71" s="9">
        <v>255813</v>
      </c>
      <c r="G71" s="9">
        <v>378601</v>
      </c>
      <c r="H71" s="9">
        <v>378066</v>
      </c>
      <c r="I71" s="9">
        <v>439283</v>
      </c>
      <c r="J71" s="9">
        <v>439283</v>
      </c>
      <c r="K71" s="9">
        <v>465280</v>
      </c>
      <c r="L71" s="9">
        <v>462622</v>
      </c>
      <c r="M71" s="9">
        <v>463362</v>
      </c>
      <c r="N71" s="9">
        <v>585757</v>
      </c>
      <c r="O71" s="9">
        <v>453708</v>
      </c>
      <c r="P71" s="9">
        <v>452344</v>
      </c>
      <c r="Q71" s="9">
        <v>726426</v>
      </c>
      <c r="R71" s="9">
        <v>725546</v>
      </c>
      <c r="S71" s="9">
        <v>775800</v>
      </c>
      <c r="T71" s="9">
        <v>774036</v>
      </c>
      <c r="U71" s="9">
        <v>1189799</v>
      </c>
      <c r="V71" s="9">
        <v>1189112</v>
      </c>
      <c r="W71" s="9">
        <v>1248389</v>
      </c>
      <c r="X71" s="9">
        <v>1246161</v>
      </c>
      <c r="Y71" s="9">
        <v>1787170</v>
      </c>
      <c r="Z71" s="9">
        <v>1789350</v>
      </c>
      <c r="AA71" s="9">
        <v>1847081</v>
      </c>
      <c r="AB71" s="9">
        <v>1844467</v>
      </c>
      <c r="AC71" s="9">
        <v>2492954</v>
      </c>
      <c r="AD71" s="9">
        <v>2492954</v>
      </c>
      <c r="AE71" s="9">
        <v>2547465</v>
      </c>
      <c r="AF71" s="9">
        <v>2537221</v>
      </c>
      <c r="AG71" s="9">
        <v>3465914</v>
      </c>
      <c r="AH71" s="9">
        <v>3465624</v>
      </c>
      <c r="AI71" s="9">
        <v>3527727</v>
      </c>
      <c r="AJ71" s="9">
        <v>3522957</v>
      </c>
      <c r="AK71" s="9">
        <v>4692965</v>
      </c>
      <c r="AL71" s="9">
        <v>4685355</v>
      </c>
      <c r="AM71" s="9">
        <v>4708243</v>
      </c>
      <c r="AN71" s="9">
        <v>4707618</v>
      </c>
      <c r="AO71" s="9">
        <v>6259588</v>
      </c>
      <c r="AP71" s="9">
        <v>6257868</v>
      </c>
      <c r="AQ71" s="9">
        <v>6313202</v>
      </c>
      <c r="AR71" s="9">
        <v>6321741</v>
      </c>
      <c r="AS71" s="9">
        <v>8833680</v>
      </c>
      <c r="AT71" s="9">
        <v>8781740</v>
      </c>
      <c r="AU71" s="9">
        <v>7075159</v>
      </c>
      <c r="AV71" s="9">
        <v>10041541</v>
      </c>
      <c r="AW71" s="9">
        <v>10071382</v>
      </c>
    </row>
    <row r="72" spans="1:49" x14ac:dyDescent="0.25">
      <c r="A72" s="8" t="s">
        <v>69</v>
      </c>
      <c r="B72" s="10"/>
      <c r="C72" s="10"/>
      <c r="D72" s="10"/>
      <c r="E72" s="10">
        <v>0</v>
      </c>
      <c r="F72" s="10">
        <v>0</v>
      </c>
      <c r="G72" s="10">
        <v>0</v>
      </c>
      <c r="H72" s="9">
        <v>-12711</v>
      </c>
      <c r="I72" s="9">
        <v>4528</v>
      </c>
      <c r="J72" s="9">
        <v>-14042</v>
      </c>
      <c r="K72" s="10">
        <v>0</v>
      </c>
      <c r="L72" s="9">
        <v>-2131</v>
      </c>
      <c r="M72" s="9">
        <v>-4010</v>
      </c>
      <c r="N72" s="9">
        <v>-36955</v>
      </c>
      <c r="O72" s="10">
        <v>0</v>
      </c>
      <c r="P72" s="9">
        <v>37605</v>
      </c>
      <c r="Q72" s="9">
        <v>17644</v>
      </c>
      <c r="R72" s="9">
        <v>16624</v>
      </c>
      <c r="S72" s="10">
        <v>0</v>
      </c>
      <c r="T72" s="9">
        <v>8057</v>
      </c>
      <c r="U72" s="9">
        <v>7244</v>
      </c>
      <c r="V72" s="9">
        <v>9091</v>
      </c>
      <c r="W72" s="10">
        <v>0</v>
      </c>
      <c r="X72" s="9">
        <v>19370</v>
      </c>
      <c r="Y72" s="9">
        <v>15159</v>
      </c>
      <c r="Z72" s="9">
        <v>27795</v>
      </c>
      <c r="AA72" s="10">
        <v>0</v>
      </c>
      <c r="AB72" s="9">
        <v>29923</v>
      </c>
      <c r="AC72" s="9">
        <v>37952</v>
      </c>
      <c r="AD72" s="9">
        <v>64586</v>
      </c>
      <c r="AE72" s="10"/>
      <c r="AF72" s="9">
        <v>13793</v>
      </c>
      <c r="AG72" s="9">
        <v>-13793</v>
      </c>
      <c r="AH72" s="9">
        <v>-37318</v>
      </c>
      <c r="AI72" s="10"/>
      <c r="AJ72" s="9">
        <v>18963</v>
      </c>
      <c r="AK72" s="9">
        <v>16034</v>
      </c>
      <c r="AL72" s="9">
        <v>57320</v>
      </c>
      <c r="AM72" s="10"/>
      <c r="AN72" s="9">
        <v>87381</v>
      </c>
      <c r="AO72" s="9">
        <v>-28143</v>
      </c>
      <c r="AP72" s="9">
        <v>98756</v>
      </c>
      <c r="AQ72" s="10"/>
      <c r="AR72" s="9">
        <v>30876</v>
      </c>
      <c r="AS72" s="9">
        <v>-26977</v>
      </c>
      <c r="AT72" s="9">
        <v>6836</v>
      </c>
      <c r="AU72" s="10"/>
      <c r="AV72" s="9">
        <v>8163</v>
      </c>
      <c r="AW72" s="9">
        <v>-11673</v>
      </c>
    </row>
    <row r="73" spans="1:49" x14ac:dyDescent="0.25">
      <c r="A73" s="8" t="s">
        <v>70</v>
      </c>
      <c r="B73" s="10"/>
      <c r="C73" s="10"/>
      <c r="D73" s="10"/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spans="1:49" x14ac:dyDescent="0.25">
      <c r="A74" s="8" t="s">
        <v>71</v>
      </c>
      <c r="B74" s="9">
        <v>283923</v>
      </c>
      <c r="C74" s="9">
        <v>452858</v>
      </c>
      <c r="D74" s="9">
        <v>336404</v>
      </c>
      <c r="E74" s="9">
        <v>283331</v>
      </c>
      <c r="F74" s="9">
        <v>513549</v>
      </c>
      <c r="G74" s="9">
        <v>909128</v>
      </c>
      <c r="H74" s="9">
        <v>1143507</v>
      </c>
      <c r="I74" s="9">
        <v>276315</v>
      </c>
      <c r="J74" s="9">
        <v>547633</v>
      </c>
      <c r="K74" s="9">
        <v>747047</v>
      </c>
      <c r="L74" s="9">
        <v>1014205</v>
      </c>
      <c r="M74" s="9">
        <v>1364964</v>
      </c>
      <c r="N74" s="9">
        <v>2017947</v>
      </c>
      <c r="O74" s="9">
        <v>1769492</v>
      </c>
      <c r="P74" s="9">
        <v>2526763</v>
      </c>
      <c r="Q74" s="9">
        <v>2987646</v>
      </c>
      <c r="R74" s="9">
        <v>2279482</v>
      </c>
      <c r="S74" s="9">
        <v>3007022</v>
      </c>
      <c r="T74" s="9">
        <v>3805844</v>
      </c>
      <c r="U74" s="9">
        <v>4171307</v>
      </c>
      <c r="V74" s="9">
        <v>5069988</v>
      </c>
      <c r="W74" s="9">
        <v>6130768</v>
      </c>
      <c r="X74" s="9">
        <v>7019397</v>
      </c>
      <c r="Y74" s="9">
        <v>7678938</v>
      </c>
      <c r="Z74" s="9">
        <v>8768067</v>
      </c>
      <c r="AA74" s="9">
        <v>4938967</v>
      </c>
      <c r="AB74" s="9">
        <v>6502578</v>
      </c>
      <c r="AC74" s="9">
        <v>7395450</v>
      </c>
      <c r="AD74" s="9">
        <v>8826515</v>
      </c>
      <c r="AE74" s="9">
        <v>6290473</v>
      </c>
      <c r="AF74" s="9">
        <v>8206256</v>
      </c>
      <c r="AG74" s="9">
        <v>9344689</v>
      </c>
      <c r="AH74" s="9">
        <v>11360677</v>
      </c>
      <c r="AI74" s="9">
        <v>7999785</v>
      </c>
      <c r="AJ74" s="9">
        <v>10087795</v>
      </c>
      <c r="AK74" s="9">
        <v>8548698</v>
      </c>
      <c r="AL74" s="9">
        <v>7256245</v>
      </c>
      <c r="AM74" s="9">
        <v>10561698</v>
      </c>
      <c r="AN74" s="9">
        <v>13671470</v>
      </c>
      <c r="AO74" s="9">
        <v>15223523</v>
      </c>
      <c r="AP74" s="9">
        <v>15734849</v>
      </c>
      <c r="AQ74" s="9">
        <v>12954121</v>
      </c>
      <c r="AR74" s="9">
        <v>17166824</v>
      </c>
      <c r="AS74" s="9">
        <v>18145365</v>
      </c>
      <c r="AT74" s="9">
        <v>21792003</v>
      </c>
      <c r="AU74" s="9">
        <v>17146327</v>
      </c>
      <c r="AV74" s="9">
        <v>18957688</v>
      </c>
      <c r="AW74" s="9">
        <v>24456838</v>
      </c>
    </row>
    <row r="75" spans="1:49" x14ac:dyDescent="0.25">
      <c r="A75" s="8" t="s">
        <v>72</v>
      </c>
      <c r="B75" s="4"/>
      <c r="C75" s="4"/>
      <c r="D75" s="4"/>
      <c r="E75" s="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5" t="s">
        <v>73</v>
      </c>
      <c r="B76" s="4"/>
      <c r="C76" s="4"/>
      <c r="D76" s="4"/>
      <c r="E76" s="4">
        <v>0</v>
      </c>
      <c r="F76" s="6">
        <v>324794</v>
      </c>
      <c r="G76" s="6">
        <v>449264</v>
      </c>
      <c r="H76" s="6">
        <v>485026</v>
      </c>
      <c r="I76" s="6">
        <v>528159</v>
      </c>
      <c r="J76" s="6">
        <v>577584</v>
      </c>
      <c r="K76" s="6">
        <v>625630</v>
      </c>
      <c r="L76" s="6">
        <v>668068</v>
      </c>
      <c r="M76" s="6">
        <v>719843</v>
      </c>
      <c r="N76" s="6">
        <v>615403</v>
      </c>
      <c r="O76" s="6">
        <v>683549</v>
      </c>
      <c r="P76" s="6">
        <v>910203</v>
      </c>
      <c r="Q76" s="6">
        <v>992073</v>
      </c>
      <c r="R76" s="6">
        <v>1080568</v>
      </c>
      <c r="S76" s="6">
        <v>1192976</v>
      </c>
      <c r="T76" s="6">
        <v>1272880</v>
      </c>
      <c r="U76" s="6">
        <v>1382883</v>
      </c>
      <c r="V76" s="6">
        <v>1473241</v>
      </c>
      <c r="W76" s="6">
        <v>1308544</v>
      </c>
      <c r="X76" s="6">
        <v>1721220</v>
      </c>
      <c r="Y76" s="6">
        <v>1831068</v>
      </c>
      <c r="Z76" s="6">
        <v>1918443</v>
      </c>
      <c r="AA76" s="6">
        <v>1706692</v>
      </c>
      <c r="AB76" s="6">
        <v>1823419</v>
      </c>
      <c r="AC76" s="6">
        <v>1593015</v>
      </c>
      <c r="AD76" s="6">
        <v>1674988</v>
      </c>
      <c r="AE76" s="6">
        <v>1756671</v>
      </c>
      <c r="AF76" s="6">
        <v>1858712</v>
      </c>
      <c r="AG76" s="6">
        <v>2174678</v>
      </c>
      <c r="AH76" s="6">
        <v>1978179</v>
      </c>
      <c r="AI76" s="6">
        <v>2041348</v>
      </c>
      <c r="AJ76" s="6">
        <v>1772050</v>
      </c>
      <c r="AK76" s="6">
        <v>1793025</v>
      </c>
      <c r="AL76" s="6">
        <v>1827743</v>
      </c>
      <c r="AM76" s="6">
        <v>1931463</v>
      </c>
      <c r="AN76" s="6">
        <v>2034863</v>
      </c>
      <c r="AO76" s="6">
        <v>2171824</v>
      </c>
      <c r="AP76" s="6">
        <v>2293584</v>
      </c>
      <c r="AQ76" s="6">
        <v>2166158</v>
      </c>
      <c r="AR76" s="6">
        <v>2289076</v>
      </c>
      <c r="AS76" s="6">
        <v>2450275</v>
      </c>
      <c r="AT76" s="6">
        <v>2602454</v>
      </c>
      <c r="AU76" s="6">
        <v>2715392</v>
      </c>
      <c r="AV76" s="6">
        <v>2850890</v>
      </c>
      <c r="AW76" s="6">
        <v>4379765</v>
      </c>
    </row>
    <row r="77" spans="1:49" x14ac:dyDescent="0.25">
      <c r="A77" s="13" t="s">
        <v>74</v>
      </c>
      <c r="B77" s="6">
        <v>34389227</v>
      </c>
      <c r="C77" s="6">
        <v>45025421</v>
      </c>
      <c r="D77" s="6">
        <v>52782831</v>
      </c>
      <c r="E77" s="6">
        <v>86226641</v>
      </c>
      <c r="F77" s="6">
        <v>99524603</v>
      </c>
      <c r="G77" s="6">
        <v>106485935</v>
      </c>
      <c r="H77" s="6">
        <v>118950018</v>
      </c>
      <c r="I77" s="6">
        <v>128983966</v>
      </c>
      <c r="J77" s="6">
        <v>138872460</v>
      </c>
      <c r="K77" s="6">
        <v>150294272</v>
      </c>
      <c r="L77" s="6">
        <v>163349249</v>
      </c>
      <c r="M77" s="6">
        <v>169528338</v>
      </c>
      <c r="N77" s="6">
        <v>174594270</v>
      </c>
      <c r="O77" s="6">
        <v>189334259</v>
      </c>
      <c r="P77" s="6">
        <v>190374307</v>
      </c>
      <c r="Q77" s="6">
        <v>191293246</v>
      </c>
      <c r="R77" s="6">
        <v>199380170</v>
      </c>
      <c r="S77" s="6">
        <v>216107406</v>
      </c>
      <c r="T77" s="6">
        <v>202562505</v>
      </c>
      <c r="U77" s="6">
        <v>210291471</v>
      </c>
      <c r="V77" s="6">
        <v>217245156</v>
      </c>
      <c r="W77" s="6">
        <v>229477262</v>
      </c>
      <c r="X77" s="6">
        <v>231773724</v>
      </c>
      <c r="Y77" s="6">
        <v>242445051</v>
      </c>
      <c r="Z77" s="6">
        <v>273289529</v>
      </c>
      <c r="AA77" s="6">
        <v>319127257</v>
      </c>
      <c r="AB77" s="6">
        <v>325821442</v>
      </c>
      <c r="AC77" s="6">
        <v>330969917</v>
      </c>
      <c r="AD77" s="6">
        <v>346355019</v>
      </c>
      <c r="AE77" s="6">
        <v>374611571</v>
      </c>
      <c r="AF77" s="6">
        <v>381046023</v>
      </c>
      <c r="AG77" s="6">
        <v>384266740</v>
      </c>
      <c r="AH77" s="6">
        <v>399152573</v>
      </c>
      <c r="AI77" s="6">
        <v>416273023</v>
      </c>
      <c r="AJ77" s="6">
        <v>458802678</v>
      </c>
      <c r="AK77" s="6">
        <v>483935823</v>
      </c>
      <c r="AL77" s="6">
        <v>508263253</v>
      </c>
      <c r="AM77" s="6">
        <v>602314859</v>
      </c>
      <c r="AN77" s="6">
        <v>602551570</v>
      </c>
      <c r="AO77" s="6">
        <v>624443499</v>
      </c>
      <c r="AP77" s="6">
        <v>629569112</v>
      </c>
      <c r="AQ77" s="6">
        <v>697280806</v>
      </c>
      <c r="AR77" s="6">
        <v>711310758</v>
      </c>
      <c r="AS77" s="6">
        <v>784096287</v>
      </c>
      <c r="AT77" s="6">
        <v>781937368</v>
      </c>
      <c r="AU77" s="6">
        <v>931101281</v>
      </c>
      <c r="AV77" s="6">
        <v>984216210</v>
      </c>
      <c r="AW77" s="6">
        <v>1043891774</v>
      </c>
    </row>
    <row r="79" spans="1:49" x14ac:dyDescent="0.25">
      <c r="B79" s="14">
        <f>SUM(B3:B6,B10,B13:B14,B17,B21,B27,B38,B41)-B48</f>
        <v>0</v>
      </c>
      <c r="C79" s="14">
        <f t="shared" ref="C79:AW79" si="0">SUM(C3:C6,C10,C13:C14,C17,C21,C27,C38,C41)-C48</f>
        <v>0</v>
      </c>
      <c r="D79" s="14">
        <f t="shared" si="0"/>
        <v>0</v>
      </c>
      <c r="E79" s="14">
        <f t="shared" si="0"/>
        <v>0</v>
      </c>
      <c r="F79" s="14">
        <f>SUM(F3:F6,F10,F13:F14,F17,F21,F27,F38,F41)-F48</f>
        <v>0</v>
      </c>
      <c r="G79" s="14">
        <f t="shared" si="0"/>
        <v>0</v>
      </c>
      <c r="H79" s="14">
        <f t="shared" si="0"/>
        <v>0</v>
      </c>
      <c r="I79" s="14">
        <f t="shared" si="0"/>
        <v>0</v>
      </c>
      <c r="J79" s="14">
        <f t="shared" si="0"/>
        <v>0</v>
      </c>
      <c r="K79" s="14">
        <f t="shared" si="0"/>
        <v>0</v>
      </c>
      <c r="L79" s="14">
        <f t="shared" si="0"/>
        <v>0</v>
      </c>
      <c r="M79" s="14">
        <f t="shared" si="0"/>
        <v>0</v>
      </c>
      <c r="N79" s="14">
        <f t="shared" si="0"/>
        <v>0</v>
      </c>
      <c r="O79" s="14">
        <f t="shared" si="0"/>
        <v>0</v>
      </c>
      <c r="P79" s="14">
        <f t="shared" si="0"/>
        <v>0</v>
      </c>
      <c r="Q79" s="14">
        <f t="shared" si="0"/>
        <v>0</v>
      </c>
      <c r="R79" s="14">
        <f t="shared" si="0"/>
        <v>0</v>
      </c>
      <c r="S79" s="14">
        <f t="shared" si="0"/>
        <v>0</v>
      </c>
      <c r="T79" s="14">
        <f t="shared" si="0"/>
        <v>0</v>
      </c>
      <c r="U79" s="14">
        <f t="shared" si="0"/>
        <v>0</v>
      </c>
      <c r="V79" s="14">
        <f t="shared" si="0"/>
        <v>0</v>
      </c>
      <c r="W79" s="14">
        <f t="shared" si="0"/>
        <v>0</v>
      </c>
      <c r="X79" s="14">
        <f t="shared" si="0"/>
        <v>0</v>
      </c>
      <c r="Y79" s="14">
        <f t="shared" si="0"/>
        <v>0</v>
      </c>
      <c r="Z79" s="14">
        <f t="shared" si="0"/>
        <v>0</v>
      </c>
      <c r="AA79" s="14">
        <f t="shared" si="0"/>
        <v>0</v>
      </c>
      <c r="AB79" s="14">
        <f t="shared" si="0"/>
        <v>0</v>
      </c>
      <c r="AC79" s="14">
        <f t="shared" si="0"/>
        <v>0</v>
      </c>
      <c r="AD79" s="14">
        <f t="shared" si="0"/>
        <v>0</v>
      </c>
      <c r="AE79" s="14">
        <f t="shared" si="0"/>
        <v>0</v>
      </c>
      <c r="AF79" s="14">
        <f t="shared" si="0"/>
        <v>0</v>
      </c>
      <c r="AG79" s="14">
        <f t="shared" si="0"/>
        <v>0</v>
      </c>
      <c r="AH79" s="14">
        <f t="shared" si="0"/>
        <v>0</v>
      </c>
      <c r="AI79" s="14">
        <f t="shared" si="0"/>
        <v>0</v>
      </c>
      <c r="AJ79" s="14">
        <f t="shared" si="0"/>
        <v>0</v>
      </c>
      <c r="AK79" s="14">
        <f t="shared" si="0"/>
        <v>0</v>
      </c>
      <c r="AL79" s="14">
        <f t="shared" si="0"/>
        <v>0</v>
      </c>
      <c r="AM79" s="14">
        <f t="shared" si="0"/>
        <v>0</v>
      </c>
      <c r="AN79" s="14">
        <f t="shared" si="0"/>
        <v>0</v>
      </c>
      <c r="AO79" s="14">
        <f t="shared" si="0"/>
        <v>0</v>
      </c>
      <c r="AP79" s="14">
        <f t="shared" si="0"/>
        <v>0</v>
      </c>
      <c r="AQ79" s="14">
        <f t="shared" si="0"/>
        <v>0</v>
      </c>
      <c r="AR79" s="14">
        <f t="shared" si="0"/>
        <v>0</v>
      </c>
      <c r="AS79" s="14">
        <f t="shared" si="0"/>
        <v>0</v>
      </c>
      <c r="AT79" s="14">
        <f t="shared" si="0"/>
        <v>0</v>
      </c>
      <c r="AU79" s="14">
        <f t="shared" si="0"/>
        <v>0</v>
      </c>
      <c r="AV79" s="14">
        <f t="shared" si="0"/>
        <v>0</v>
      </c>
      <c r="AW79" s="14">
        <f t="shared" si="0"/>
        <v>0</v>
      </c>
    </row>
    <row r="80" spans="1:49" x14ac:dyDescent="0.25">
      <c r="B80" s="14">
        <f>SUM(B50:B51,B54:B58,B63,B76)-B77</f>
        <v>0</v>
      </c>
      <c r="C80" s="14">
        <f>SUM(C50:C51,C54:C58,C63,C76)-C77</f>
        <v>0</v>
      </c>
      <c r="D80" s="14">
        <f>SUM(D50:D51,D54:D58,D63,D76)-D77</f>
        <v>0</v>
      </c>
      <c r="E80" s="14">
        <f t="shared" ref="E80:AW80" si="1">SUM(E50:E51,E54:E58,E63,E76)-E77</f>
        <v>0</v>
      </c>
      <c r="F80" s="14">
        <f t="shared" si="1"/>
        <v>0</v>
      </c>
      <c r="G80" s="14">
        <f t="shared" si="1"/>
        <v>0</v>
      </c>
      <c r="H80" s="14">
        <f t="shared" si="1"/>
        <v>0</v>
      </c>
      <c r="I80" s="14">
        <f t="shared" si="1"/>
        <v>0</v>
      </c>
      <c r="J80" s="14">
        <f t="shared" si="1"/>
        <v>0</v>
      </c>
      <c r="K80" s="14">
        <f t="shared" si="1"/>
        <v>0</v>
      </c>
      <c r="L80" s="14">
        <f t="shared" si="1"/>
        <v>0</v>
      </c>
      <c r="M80" s="14">
        <f t="shared" si="1"/>
        <v>0</v>
      </c>
      <c r="N80" s="14">
        <f t="shared" si="1"/>
        <v>0</v>
      </c>
      <c r="O80" s="14">
        <f t="shared" si="1"/>
        <v>0</v>
      </c>
      <c r="P80" s="14">
        <f t="shared" si="1"/>
        <v>0</v>
      </c>
      <c r="Q80" s="14">
        <f t="shared" si="1"/>
        <v>0</v>
      </c>
      <c r="R80" s="14">
        <f t="shared" si="1"/>
        <v>0</v>
      </c>
      <c r="S80" s="14">
        <f t="shared" si="1"/>
        <v>0</v>
      </c>
      <c r="T80" s="14">
        <f t="shared" si="1"/>
        <v>0</v>
      </c>
      <c r="U80" s="14">
        <f t="shared" si="1"/>
        <v>0</v>
      </c>
      <c r="V80" s="14">
        <f t="shared" si="1"/>
        <v>0</v>
      </c>
      <c r="W80" s="14">
        <f t="shared" si="1"/>
        <v>0</v>
      </c>
      <c r="X80" s="14">
        <f t="shared" si="1"/>
        <v>0</v>
      </c>
      <c r="Y80" s="14">
        <f t="shared" si="1"/>
        <v>0</v>
      </c>
      <c r="Z80" s="14">
        <f t="shared" si="1"/>
        <v>0</v>
      </c>
      <c r="AA80" s="14">
        <f t="shared" si="1"/>
        <v>0</v>
      </c>
      <c r="AB80" s="14">
        <f t="shared" si="1"/>
        <v>0</v>
      </c>
      <c r="AC80" s="14">
        <f t="shared" si="1"/>
        <v>0</v>
      </c>
      <c r="AD80" s="14">
        <f t="shared" si="1"/>
        <v>0</v>
      </c>
      <c r="AE80" s="14">
        <f t="shared" si="1"/>
        <v>0</v>
      </c>
      <c r="AF80" s="14">
        <f t="shared" si="1"/>
        <v>0</v>
      </c>
      <c r="AG80" s="14">
        <f t="shared" si="1"/>
        <v>0</v>
      </c>
      <c r="AH80" s="14">
        <f t="shared" si="1"/>
        <v>0</v>
      </c>
      <c r="AI80" s="14">
        <f t="shared" si="1"/>
        <v>0</v>
      </c>
      <c r="AJ80" s="14">
        <f t="shared" si="1"/>
        <v>0</v>
      </c>
      <c r="AK80" s="14">
        <f t="shared" si="1"/>
        <v>0</v>
      </c>
      <c r="AL80" s="14">
        <f t="shared" si="1"/>
        <v>0</v>
      </c>
      <c r="AM80" s="14">
        <f t="shared" si="1"/>
        <v>0</v>
      </c>
      <c r="AN80" s="14">
        <f t="shared" si="1"/>
        <v>0</v>
      </c>
      <c r="AO80" s="14">
        <f t="shared" si="1"/>
        <v>0</v>
      </c>
      <c r="AP80" s="14">
        <f t="shared" si="1"/>
        <v>0</v>
      </c>
      <c r="AQ80" s="14">
        <f t="shared" si="1"/>
        <v>0</v>
      </c>
      <c r="AR80" s="14">
        <f t="shared" si="1"/>
        <v>0</v>
      </c>
      <c r="AS80" s="14">
        <f t="shared" si="1"/>
        <v>0</v>
      </c>
      <c r="AT80" s="14">
        <f t="shared" si="1"/>
        <v>0</v>
      </c>
      <c r="AU80" s="14">
        <f t="shared" si="1"/>
        <v>0</v>
      </c>
      <c r="AV80" s="14">
        <f t="shared" si="1"/>
        <v>0</v>
      </c>
      <c r="AW80" s="14">
        <f t="shared" si="1"/>
        <v>0</v>
      </c>
    </row>
    <row r="81" spans="2:49" x14ac:dyDescent="0.25">
      <c r="B81" s="14">
        <f>B48-B77</f>
        <v>0</v>
      </c>
      <c r="C81" s="14">
        <f t="shared" ref="C81:AW81" si="2">C48-C77</f>
        <v>0</v>
      </c>
      <c r="D81" s="14">
        <f t="shared" si="2"/>
        <v>0</v>
      </c>
      <c r="E81" s="14">
        <f t="shared" si="2"/>
        <v>0</v>
      </c>
      <c r="F81" s="14">
        <f t="shared" si="2"/>
        <v>0</v>
      </c>
      <c r="G81" s="14">
        <f t="shared" si="2"/>
        <v>0</v>
      </c>
      <c r="H81" s="14">
        <f t="shared" si="2"/>
        <v>0</v>
      </c>
      <c r="I81" s="14">
        <f t="shared" si="2"/>
        <v>0</v>
      </c>
      <c r="J81" s="14">
        <f t="shared" si="2"/>
        <v>0</v>
      </c>
      <c r="K81" s="14">
        <f t="shared" si="2"/>
        <v>0</v>
      </c>
      <c r="L81" s="14">
        <f t="shared" si="2"/>
        <v>0</v>
      </c>
      <c r="M81" s="14">
        <f t="shared" si="2"/>
        <v>0</v>
      </c>
      <c r="N81" s="14">
        <f t="shared" si="2"/>
        <v>0</v>
      </c>
      <c r="O81" s="14">
        <f t="shared" si="2"/>
        <v>0</v>
      </c>
      <c r="P81" s="14">
        <f t="shared" si="2"/>
        <v>0</v>
      </c>
      <c r="Q81" s="14">
        <f t="shared" si="2"/>
        <v>0</v>
      </c>
      <c r="R81" s="14">
        <f t="shared" si="2"/>
        <v>0</v>
      </c>
      <c r="S81" s="14">
        <f t="shared" si="2"/>
        <v>0</v>
      </c>
      <c r="T81" s="14">
        <f t="shared" si="2"/>
        <v>0</v>
      </c>
      <c r="U81" s="14">
        <f t="shared" si="2"/>
        <v>0</v>
      </c>
      <c r="V81" s="14">
        <f t="shared" si="2"/>
        <v>0</v>
      </c>
      <c r="W81" s="14">
        <f t="shared" si="2"/>
        <v>0</v>
      </c>
      <c r="X81" s="14">
        <f t="shared" si="2"/>
        <v>0</v>
      </c>
      <c r="Y81" s="14">
        <f t="shared" si="2"/>
        <v>0</v>
      </c>
      <c r="Z81" s="14">
        <f t="shared" si="2"/>
        <v>0</v>
      </c>
      <c r="AA81" s="14">
        <f t="shared" si="2"/>
        <v>0</v>
      </c>
      <c r="AB81" s="14">
        <f t="shared" si="2"/>
        <v>0</v>
      </c>
      <c r="AC81" s="14">
        <f t="shared" si="2"/>
        <v>0</v>
      </c>
      <c r="AD81" s="14">
        <f t="shared" si="2"/>
        <v>0</v>
      </c>
      <c r="AE81" s="14">
        <f t="shared" si="2"/>
        <v>0</v>
      </c>
      <c r="AF81" s="14">
        <f t="shared" si="2"/>
        <v>0</v>
      </c>
      <c r="AG81" s="14">
        <f t="shared" si="2"/>
        <v>0</v>
      </c>
      <c r="AH81" s="14">
        <f t="shared" si="2"/>
        <v>0</v>
      </c>
      <c r="AI81" s="14">
        <f t="shared" si="2"/>
        <v>0</v>
      </c>
      <c r="AJ81" s="14">
        <f t="shared" si="2"/>
        <v>0</v>
      </c>
      <c r="AK81" s="14">
        <f t="shared" si="2"/>
        <v>0</v>
      </c>
      <c r="AL81" s="14">
        <f t="shared" si="2"/>
        <v>0</v>
      </c>
      <c r="AM81" s="14">
        <f t="shared" si="2"/>
        <v>0</v>
      </c>
      <c r="AN81" s="14">
        <f t="shared" si="2"/>
        <v>0</v>
      </c>
      <c r="AO81" s="14">
        <f t="shared" si="2"/>
        <v>0</v>
      </c>
      <c r="AP81" s="14">
        <f t="shared" si="2"/>
        <v>0</v>
      </c>
      <c r="AQ81" s="14">
        <f t="shared" si="2"/>
        <v>0</v>
      </c>
      <c r="AR81" s="14">
        <f t="shared" si="2"/>
        <v>0</v>
      </c>
      <c r="AS81" s="14">
        <f t="shared" si="2"/>
        <v>0</v>
      </c>
      <c r="AT81" s="14">
        <f t="shared" si="2"/>
        <v>0</v>
      </c>
      <c r="AU81" s="14">
        <f t="shared" si="2"/>
        <v>0</v>
      </c>
      <c r="AV81" s="14">
        <f t="shared" si="2"/>
        <v>0</v>
      </c>
      <c r="AW81" s="14">
        <f t="shared" si="2"/>
        <v>0</v>
      </c>
    </row>
    <row r="82" spans="2:49" x14ac:dyDescent="0.25">
      <c r="B82" s="15">
        <f>SUM(B7:B9)-B6</f>
        <v>0</v>
      </c>
      <c r="C82" s="15">
        <f t="shared" ref="C82:AW82" si="3">SUM(C7:C9)-C6</f>
        <v>0</v>
      </c>
      <c r="D82" s="15">
        <f t="shared" si="3"/>
        <v>0</v>
      </c>
      <c r="E82" s="15">
        <f t="shared" si="3"/>
        <v>0</v>
      </c>
      <c r="F82" s="15">
        <f t="shared" si="3"/>
        <v>0</v>
      </c>
      <c r="G82" s="15">
        <f t="shared" si="3"/>
        <v>0</v>
      </c>
      <c r="H82" s="15">
        <f t="shared" si="3"/>
        <v>0</v>
      </c>
      <c r="I82" s="15">
        <f t="shared" si="3"/>
        <v>0</v>
      </c>
      <c r="J82" s="15">
        <f t="shared" si="3"/>
        <v>0</v>
      </c>
      <c r="K82" s="15">
        <f t="shared" si="3"/>
        <v>0</v>
      </c>
      <c r="L82" s="15">
        <f t="shared" si="3"/>
        <v>0</v>
      </c>
      <c r="M82" s="15">
        <f t="shared" si="3"/>
        <v>0</v>
      </c>
      <c r="N82" s="15">
        <f t="shared" si="3"/>
        <v>0</v>
      </c>
      <c r="O82" s="15">
        <f t="shared" si="3"/>
        <v>0</v>
      </c>
      <c r="P82" s="15">
        <f t="shared" si="3"/>
        <v>0</v>
      </c>
      <c r="Q82" s="15">
        <f t="shared" si="3"/>
        <v>0</v>
      </c>
      <c r="R82" s="15">
        <f t="shared" si="3"/>
        <v>0</v>
      </c>
      <c r="S82" s="15">
        <f t="shared" si="3"/>
        <v>0</v>
      </c>
      <c r="T82" s="15">
        <f t="shared" si="3"/>
        <v>0</v>
      </c>
      <c r="U82" s="15">
        <f t="shared" si="3"/>
        <v>0</v>
      </c>
      <c r="V82" s="15">
        <f t="shared" si="3"/>
        <v>0</v>
      </c>
      <c r="W82" s="15">
        <f t="shared" si="3"/>
        <v>0</v>
      </c>
      <c r="X82" s="15">
        <f t="shared" si="3"/>
        <v>0</v>
      </c>
      <c r="Y82" s="15">
        <f t="shared" si="3"/>
        <v>0</v>
      </c>
      <c r="Z82" s="15">
        <f t="shared" si="3"/>
        <v>0</v>
      </c>
      <c r="AA82" s="15">
        <f t="shared" si="3"/>
        <v>0</v>
      </c>
      <c r="AB82" s="15">
        <f t="shared" si="3"/>
        <v>0</v>
      </c>
      <c r="AC82" s="15">
        <f t="shared" si="3"/>
        <v>0</v>
      </c>
      <c r="AD82" s="15">
        <f t="shared" si="3"/>
        <v>0</v>
      </c>
      <c r="AE82" s="15">
        <f t="shared" si="3"/>
        <v>0</v>
      </c>
      <c r="AF82" s="15">
        <f t="shared" si="3"/>
        <v>0</v>
      </c>
      <c r="AG82" s="15">
        <f t="shared" si="3"/>
        <v>0</v>
      </c>
      <c r="AH82" s="15">
        <f t="shared" si="3"/>
        <v>0</v>
      </c>
      <c r="AI82" s="15">
        <f t="shared" si="3"/>
        <v>0</v>
      </c>
      <c r="AJ82" s="15">
        <f t="shared" si="3"/>
        <v>0</v>
      </c>
      <c r="AK82" s="15">
        <f t="shared" si="3"/>
        <v>0</v>
      </c>
      <c r="AL82" s="15">
        <f t="shared" si="3"/>
        <v>0</v>
      </c>
      <c r="AM82" s="15">
        <f t="shared" si="3"/>
        <v>0</v>
      </c>
      <c r="AN82" s="15">
        <f t="shared" si="3"/>
        <v>0</v>
      </c>
      <c r="AO82" s="15">
        <f t="shared" si="3"/>
        <v>0</v>
      </c>
      <c r="AP82" s="15">
        <f t="shared" si="3"/>
        <v>0</v>
      </c>
      <c r="AQ82" s="15">
        <f t="shared" si="3"/>
        <v>0</v>
      </c>
      <c r="AR82" s="15">
        <f t="shared" si="3"/>
        <v>0</v>
      </c>
      <c r="AS82" s="15">
        <f t="shared" si="3"/>
        <v>0</v>
      </c>
      <c r="AT82" s="15">
        <f t="shared" si="3"/>
        <v>0</v>
      </c>
      <c r="AU82" s="15">
        <f t="shared" si="3"/>
        <v>0</v>
      </c>
      <c r="AV82" s="15">
        <f t="shared" si="3"/>
        <v>0</v>
      </c>
      <c r="AW82" s="15">
        <f t="shared" si="3"/>
        <v>0</v>
      </c>
    </row>
    <row r="83" spans="2:49" x14ac:dyDescent="0.25">
      <c r="B83" s="15">
        <f>SUM(B11:B12)-B10</f>
        <v>0</v>
      </c>
      <c r="C83" s="15">
        <f t="shared" ref="C83:AW83" si="4">SUM(C11:C12)-C10</f>
        <v>0</v>
      </c>
      <c r="D83" s="15">
        <f t="shared" si="4"/>
        <v>0</v>
      </c>
      <c r="E83" s="15">
        <f t="shared" si="4"/>
        <v>0</v>
      </c>
      <c r="F83" s="15">
        <f t="shared" si="4"/>
        <v>0</v>
      </c>
      <c r="G83" s="15">
        <f t="shared" si="4"/>
        <v>0</v>
      </c>
      <c r="H83" s="15">
        <f t="shared" si="4"/>
        <v>0</v>
      </c>
      <c r="I83" s="15">
        <f t="shared" si="4"/>
        <v>0</v>
      </c>
      <c r="J83" s="15">
        <f t="shared" si="4"/>
        <v>0</v>
      </c>
      <c r="K83" s="15">
        <f t="shared" si="4"/>
        <v>0</v>
      </c>
      <c r="L83" s="15">
        <f t="shared" si="4"/>
        <v>0</v>
      </c>
      <c r="M83" s="15">
        <f t="shared" si="4"/>
        <v>0</v>
      </c>
      <c r="N83" s="15">
        <f t="shared" si="4"/>
        <v>0</v>
      </c>
      <c r="O83" s="15">
        <f t="shared" si="4"/>
        <v>0</v>
      </c>
      <c r="P83" s="15">
        <f t="shared" si="4"/>
        <v>0</v>
      </c>
      <c r="Q83" s="15">
        <f t="shared" si="4"/>
        <v>0</v>
      </c>
      <c r="R83" s="15">
        <f t="shared" si="4"/>
        <v>0</v>
      </c>
      <c r="S83" s="15">
        <f t="shared" si="4"/>
        <v>0</v>
      </c>
      <c r="T83" s="15">
        <f t="shared" si="4"/>
        <v>0</v>
      </c>
      <c r="U83" s="15">
        <f t="shared" si="4"/>
        <v>0</v>
      </c>
      <c r="V83" s="15">
        <f t="shared" si="4"/>
        <v>0</v>
      </c>
      <c r="W83" s="15">
        <f t="shared" si="4"/>
        <v>0</v>
      </c>
      <c r="X83" s="15">
        <f t="shared" si="4"/>
        <v>0</v>
      </c>
      <c r="Y83" s="15">
        <f t="shared" si="4"/>
        <v>0</v>
      </c>
      <c r="Z83" s="15">
        <f t="shared" si="4"/>
        <v>0</v>
      </c>
      <c r="AA83" s="15">
        <f t="shared" si="4"/>
        <v>0</v>
      </c>
      <c r="AB83" s="15">
        <f t="shared" si="4"/>
        <v>0</v>
      </c>
      <c r="AC83" s="15">
        <f t="shared" si="4"/>
        <v>0</v>
      </c>
      <c r="AD83" s="15">
        <f t="shared" si="4"/>
        <v>0</v>
      </c>
      <c r="AE83" s="15">
        <f t="shared" si="4"/>
        <v>0</v>
      </c>
      <c r="AF83" s="15">
        <f t="shared" si="4"/>
        <v>0</v>
      </c>
      <c r="AG83" s="15">
        <f t="shared" si="4"/>
        <v>0</v>
      </c>
      <c r="AH83" s="15">
        <f t="shared" si="4"/>
        <v>0</v>
      </c>
      <c r="AI83" s="15">
        <f t="shared" si="4"/>
        <v>0</v>
      </c>
      <c r="AJ83" s="15">
        <f t="shared" si="4"/>
        <v>0</v>
      </c>
      <c r="AK83" s="15">
        <f t="shared" si="4"/>
        <v>0</v>
      </c>
      <c r="AL83" s="15">
        <f t="shared" si="4"/>
        <v>0</v>
      </c>
      <c r="AM83" s="15">
        <f t="shared" si="4"/>
        <v>0</v>
      </c>
      <c r="AN83" s="15">
        <f t="shared" si="4"/>
        <v>0</v>
      </c>
      <c r="AO83" s="15">
        <f t="shared" si="4"/>
        <v>0</v>
      </c>
      <c r="AP83" s="15">
        <f t="shared" si="4"/>
        <v>0</v>
      </c>
      <c r="AQ83" s="15">
        <f t="shared" si="4"/>
        <v>0</v>
      </c>
      <c r="AR83" s="15">
        <f t="shared" si="4"/>
        <v>0</v>
      </c>
      <c r="AS83" s="15">
        <f t="shared" si="4"/>
        <v>0</v>
      </c>
      <c r="AT83" s="15">
        <f t="shared" si="4"/>
        <v>0</v>
      </c>
      <c r="AU83" s="15">
        <f t="shared" si="4"/>
        <v>0</v>
      </c>
      <c r="AV83" s="15">
        <f t="shared" si="4"/>
        <v>0</v>
      </c>
      <c r="AW83" s="15">
        <f t="shared" si="4"/>
        <v>0</v>
      </c>
    </row>
    <row r="84" spans="2:49" x14ac:dyDescent="0.25">
      <c r="B84" s="15">
        <f>SUM(B15:B16)-B14</f>
        <v>0</v>
      </c>
      <c r="C84" s="15">
        <f t="shared" ref="C84:AW84" si="5">SUM(C15:C16)-C14</f>
        <v>0</v>
      </c>
      <c r="D84" s="15">
        <f t="shared" si="5"/>
        <v>0</v>
      </c>
      <c r="E84" s="15">
        <f>SUM(E15:E16)-E14</f>
        <v>0</v>
      </c>
      <c r="F84" s="15">
        <f t="shared" si="5"/>
        <v>0</v>
      </c>
      <c r="G84" s="15">
        <f t="shared" si="5"/>
        <v>0</v>
      </c>
      <c r="H84" s="15">
        <f t="shared" si="5"/>
        <v>0</v>
      </c>
      <c r="I84" s="15">
        <f t="shared" si="5"/>
        <v>0</v>
      </c>
      <c r="J84" s="15">
        <f t="shared" si="5"/>
        <v>0</v>
      </c>
      <c r="K84" s="15">
        <f t="shared" si="5"/>
        <v>0</v>
      </c>
      <c r="L84" s="15">
        <f t="shared" si="5"/>
        <v>0</v>
      </c>
      <c r="M84" s="15">
        <f t="shared" si="5"/>
        <v>0</v>
      </c>
      <c r="N84" s="15">
        <f t="shared" si="5"/>
        <v>0</v>
      </c>
      <c r="O84" s="15">
        <f t="shared" si="5"/>
        <v>0</v>
      </c>
      <c r="P84" s="15">
        <f t="shared" si="5"/>
        <v>0</v>
      </c>
      <c r="Q84" s="15">
        <f t="shared" si="5"/>
        <v>0</v>
      </c>
      <c r="R84" s="15">
        <f t="shared" si="5"/>
        <v>0</v>
      </c>
      <c r="S84" s="15">
        <f t="shared" si="5"/>
        <v>0</v>
      </c>
      <c r="T84" s="15">
        <f t="shared" si="5"/>
        <v>0</v>
      </c>
      <c r="U84" s="15">
        <f t="shared" si="5"/>
        <v>0</v>
      </c>
      <c r="V84" s="15">
        <f t="shared" si="5"/>
        <v>0</v>
      </c>
      <c r="W84" s="15">
        <f t="shared" si="5"/>
        <v>0</v>
      </c>
      <c r="X84" s="15">
        <f t="shared" si="5"/>
        <v>0</v>
      </c>
      <c r="Y84" s="15">
        <f t="shared" si="5"/>
        <v>0</v>
      </c>
      <c r="Z84" s="15">
        <f t="shared" si="5"/>
        <v>0</v>
      </c>
      <c r="AA84" s="15">
        <f t="shared" si="5"/>
        <v>0</v>
      </c>
      <c r="AB84" s="15">
        <f t="shared" si="5"/>
        <v>0</v>
      </c>
      <c r="AC84" s="15">
        <f t="shared" si="5"/>
        <v>0</v>
      </c>
      <c r="AD84" s="15">
        <f t="shared" si="5"/>
        <v>0</v>
      </c>
      <c r="AE84" s="15">
        <f t="shared" si="5"/>
        <v>0</v>
      </c>
      <c r="AF84" s="15">
        <f t="shared" si="5"/>
        <v>0</v>
      </c>
      <c r="AG84" s="15">
        <f t="shared" si="5"/>
        <v>0</v>
      </c>
      <c r="AH84" s="15">
        <f t="shared" si="5"/>
        <v>0</v>
      </c>
      <c r="AI84" s="15">
        <f t="shared" si="5"/>
        <v>0</v>
      </c>
      <c r="AJ84" s="15">
        <f t="shared" si="5"/>
        <v>0</v>
      </c>
      <c r="AK84" s="15">
        <f t="shared" si="5"/>
        <v>0</v>
      </c>
      <c r="AL84" s="15">
        <f t="shared" si="5"/>
        <v>0</v>
      </c>
      <c r="AM84" s="15">
        <f t="shared" si="5"/>
        <v>0</v>
      </c>
      <c r="AN84" s="15">
        <f t="shared" si="5"/>
        <v>0</v>
      </c>
      <c r="AO84" s="15">
        <f t="shared" si="5"/>
        <v>0</v>
      </c>
      <c r="AP84" s="15">
        <f t="shared" si="5"/>
        <v>0</v>
      </c>
      <c r="AQ84" s="15">
        <f t="shared" si="5"/>
        <v>0</v>
      </c>
      <c r="AR84" s="15">
        <f t="shared" si="5"/>
        <v>0</v>
      </c>
      <c r="AS84" s="15">
        <f t="shared" si="5"/>
        <v>0</v>
      </c>
      <c r="AT84" s="15">
        <f t="shared" si="5"/>
        <v>0</v>
      </c>
      <c r="AU84" s="15">
        <f t="shared" si="5"/>
        <v>0</v>
      </c>
      <c r="AV84" s="15">
        <f t="shared" si="5"/>
        <v>0</v>
      </c>
      <c r="AW84" s="15">
        <f t="shared" si="5"/>
        <v>0</v>
      </c>
    </row>
    <row r="85" spans="2:49" x14ac:dyDescent="0.25">
      <c r="B85" s="15">
        <f>SUM(B18:B20)-B17</f>
        <v>0</v>
      </c>
      <c r="C85" s="15">
        <f>SUM(C18:C20)-C17</f>
        <v>0</v>
      </c>
      <c r="D85" s="15">
        <f t="shared" ref="D85:AW85" si="6">SUM(D18:D20)-D17</f>
        <v>0</v>
      </c>
      <c r="E85" s="15">
        <f t="shared" si="6"/>
        <v>0</v>
      </c>
      <c r="F85" s="15">
        <f t="shared" si="6"/>
        <v>0</v>
      </c>
      <c r="G85" s="15">
        <f t="shared" si="6"/>
        <v>0</v>
      </c>
      <c r="H85" s="15">
        <f t="shared" si="6"/>
        <v>0</v>
      </c>
      <c r="I85" s="15">
        <f t="shared" si="6"/>
        <v>0</v>
      </c>
      <c r="J85" s="15">
        <f t="shared" si="6"/>
        <v>0</v>
      </c>
      <c r="K85" s="15">
        <f t="shared" si="6"/>
        <v>0</v>
      </c>
      <c r="L85" s="15">
        <f t="shared" si="6"/>
        <v>0</v>
      </c>
      <c r="M85" s="15">
        <f t="shared" si="6"/>
        <v>0</v>
      </c>
      <c r="N85" s="15">
        <f t="shared" si="6"/>
        <v>0</v>
      </c>
      <c r="O85" s="15">
        <f t="shared" si="6"/>
        <v>0</v>
      </c>
      <c r="P85" s="15">
        <f t="shared" si="6"/>
        <v>0</v>
      </c>
      <c r="Q85" s="15">
        <f t="shared" si="6"/>
        <v>0</v>
      </c>
      <c r="R85" s="15">
        <f t="shared" si="6"/>
        <v>0</v>
      </c>
      <c r="S85" s="15">
        <f t="shared" si="6"/>
        <v>0</v>
      </c>
      <c r="T85" s="15">
        <f t="shared" si="6"/>
        <v>0</v>
      </c>
      <c r="U85" s="15">
        <f t="shared" si="6"/>
        <v>0</v>
      </c>
      <c r="V85" s="15">
        <f t="shared" si="6"/>
        <v>0</v>
      </c>
      <c r="W85" s="15">
        <f t="shared" si="6"/>
        <v>0</v>
      </c>
      <c r="X85" s="15">
        <f t="shared" si="6"/>
        <v>0</v>
      </c>
      <c r="Y85" s="15">
        <f t="shared" si="6"/>
        <v>0</v>
      </c>
      <c r="Z85" s="15">
        <f t="shared" si="6"/>
        <v>0</v>
      </c>
      <c r="AA85" s="15">
        <f t="shared" si="6"/>
        <v>0</v>
      </c>
      <c r="AB85" s="15">
        <f t="shared" si="6"/>
        <v>0</v>
      </c>
      <c r="AC85" s="15">
        <f t="shared" si="6"/>
        <v>0</v>
      </c>
      <c r="AD85" s="15">
        <f t="shared" si="6"/>
        <v>0</v>
      </c>
      <c r="AE85" s="15">
        <f t="shared" si="6"/>
        <v>0</v>
      </c>
      <c r="AF85" s="15">
        <f t="shared" si="6"/>
        <v>0</v>
      </c>
      <c r="AG85" s="15">
        <f t="shared" si="6"/>
        <v>0</v>
      </c>
      <c r="AH85" s="15">
        <f t="shared" si="6"/>
        <v>0</v>
      </c>
      <c r="AI85" s="15">
        <f t="shared" si="6"/>
        <v>0</v>
      </c>
      <c r="AJ85" s="15">
        <f t="shared" si="6"/>
        <v>0</v>
      </c>
      <c r="AK85" s="15">
        <f t="shared" si="6"/>
        <v>0</v>
      </c>
      <c r="AL85" s="15">
        <f t="shared" si="6"/>
        <v>0</v>
      </c>
      <c r="AM85" s="15">
        <f t="shared" si="6"/>
        <v>0</v>
      </c>
      <c r="AN85" s="15">
        <f t="shared" si="6"/>
        <v>0</v>
      </c>
      <c r="AO85" s="15">
        <f t="shared" si="6"/>
        <v>0</v>
      </c>
      <c r="AP85" s="15">
        <f t="shared" si="6"/>
        <v>0</v>
      </c>
      <c r="AQ85" s="15">
        <f t="shared" si="6"/>
        <v>0</v>
      </c>
      <c r="AR85" s="15">
        <f t="shared" si="6"/>
        <v>0</v>
      </c>
      <c r="AS85" s="15">
        <f t="shared" si="6"/>
        <v>0</v>
      </c>
      <c r="AT85" s="15">
        <f t="shared" si="6"/>
        <v>0</v>
      </c>
      <c r="AU85" s="15">
        <f t="shared" si="6"/>
        <v>0</v>
      </c>
      <c r="AV85" s="15">
        <f t="shared" si="6"/>
        <v>0</v>
      </c>
      <c r="AW85" s="15">
        <f t="shared" si="6"/>
        <v>0</v>
      </c>
    </row>
    <row r="86" spans="2:49" x14ac:dyDescent="0.25">
      <c r="B86" s="15">
        <f>SUM(B22:B26)-B21</f>
        <v>0</v>
      </c>
      <c r="C86" s="15">
        <f t="shared" ref="C86:AW86" si="7">SUM(C22:C26)-C21</f>
        <v>0</v>
      </c>
      <c r="D86" s="15">
        <f t="shared" si="7"/>
        <v>0</v>
      </c>
      <c r="E86" s="15">
        <f t="shared" si="7"/>
        <v>0</v>
      </c>
      <c r="F86" s="15">
        <f t="shared" si="7"/>
        <v>0</v>
      </c>
      <c r="G86" s="15">
        <f t="shared" si="7"/>
        <v>0</v>
      </c>
      <c r="H86" s="15">
        <f t="shared" si="7"/>
        <v>0</v>
      </c>
      <c r="I86" s="15">
        <f t="shared" si="7"/>
        <v>0</v>
      </c>
      <c r="J86" s="15">
        <f t="shared" si="7"/>
        <v>0</v>
      </c>
      <c r="K86" s="15">
        <f t="shared" si="7"/>
        <v>0</v>
      </c>
      <c r="L86" s="15">
        <f t="shared" si="7"/>
        <v>0</v>
      </c>
      <c r="M86" s="15">
        <f t="shared" si="7"/>
        <v>0</v>
      </c>
      <c r="N86" s="15">
        <f t="shared" si="7"/>
        <v>0</v>
      </c>
      <c r="O86" s="15">
        <f t="shared" si="7"/>
        <v>0</v>
      </c>
      <c r="P86" s="15">
        <f t="shared" si="7"/>
        <v>0</v>
      </c>
      <c r="Q86" s="15">
        <f t="shared" si="7"/>
        <v>0</v>
      </c>
      <c r="R86" s="15">
        <f t="shared" si="7"/>
        <v>0</v>
      </c>
      <c r="S86" s="15">
        <f t="shared" si="7"/>
        <v>0</v>
      </c>
      <c r="T86" s="15">
        <f t="shared" si="7"/>
        <v>0</v>
      </c>
      <c r="U86" s="15">
        <f t="shared" si="7"/>
        <v>0</v>
      </c>
      <c r="V86" s="15">
        <f t="shared" si="7"/>
        <v>0</v>
      </c>
      <c r="W86" s="15">
        <f t="shared" si="7"/>
        <v>0</v>
      </c>
      <c r="X86" s="15">
        <f t="shared" si="7"/>
        <v>0</v>
      </c>
      <c r="Y86" s="15">
        <f t="shared" si="7"/>
        <v>0</v>
      </c>
      <c r="Z86" s="15">
        <f t="shared" si="7"/>
        <v>0</v>
      </c>
      <c r="AA86" s="15">
        <f t="shared" si="7"/>
        <v>0</v>
      </c>
      <c r="AB86" s="15">
        <f t="shared" si="7"/>
        <v>0</v>
      </c>
      <c r="AC86" s="15">
        <f t="shared" si="7"/>
        <v>0</v>
      </c>
      <c r="AD86" s="15">
        <f t="shared" si="7"/>
        <v>0</v>
      </c>
      <c r="AE86" s="15">
        <f t="shared" si="7"/>
        <v>0</v>
      </c>
      <c r="AF86" s="15">
        <f t="shared" si="7"/>
        <v>0</v>
      </c>
      <c r="AG86" s="15">
        <f t="shared" si="7"/>
        <v>0</v>
      </c>
      <c r="AH86" s="15">
        <f t="shared" si="7"/>
        <v>0</v>
      </c>
      <c r="AI86" s="15">
        <f t="shared" si="7"/>
        <v>0</v>
      </c>
      <c r="AJ86" s="15">
        <f t="shared" si="7"/>
        <v>0</v>
      </c>
      <c r="AK86" s="15">
        <f t="shared" si="7"/>
        <v>0</v>
      </c>
      <c r="AL86" s="15">
        <f t="shared" si="7"/>
        <v>0</v>
      </c>
      <c r="AM86" s="15">
        <f t="shared" si="7"/>
        <v>0</v>
      </c>
      <c r="AN86" s="15">
        <f t="shared" si="7"/>
        <v>0</v>
      </c>
      <c r="AO86" s="15">
        <f t="shared" si="7"/>
        <v>0</v>
      </c>
      <c r="AP86" s="15">
        <f t="shared" si="7"/>
        <v>0</v>
      </c>
      <c r="AQ86" s="15">
        <f t="shared" si="7"/>
        <v>0</v>
      </c>
      <c r="AR86" s="15">
        <f t="shared" si="7"/>
        <v>0</v>
      </c>
      <c r="AS86" s="15">
        <f t="shared" si="7"/>
        <v>0</v>
      </c>
      <c r="AT86" s="15">
        <f t="shared" si="7"/>
        <v>0</v>
      </c>
      <c r="AU86" s="15">
        <f t="shared" si="7"/>
        <v>0</v>
      </c>
      <c r="AV86" s="15">
        <f t="shared" si="7"/>
        <v>0</v>
      </c>
      <c r="AW86" s="15">
        <f t="shared" si="7"/>
        <v>0</v>
      </c>
    </row>
    <row r="87" spans="2:49" x14ac:dyDescent="0.25">
      <c r="B87" s="15">
        <f>SUM(B29:B30)-B28</f>
        <v>0</v>
      </c>
      <c r="C87" s="15">
        <f t="shared" ref="C87:AW87" si="8">SUM(C29:C30)-C28</f>
        <v>0</v>
      </c>
      <c r="D87" s="15">
        <f>SUM(D29:D30)-D28</f>
        <v>0</v>
      </c>
      <c r="E87" s="15">
        <f>SUM(E29:E30)-E28</f>
        <v>0</v>
      </c>
      <c r="F87" s="15">
        <f t="shared" si="8"/>
        <v>0</v>
      </c>
      <c r="G87" s="15">
        <f t="shared" si="8"/>
        <v>0</v>
      </c>
      <c r="H87" s="15">
        <f t="shared" si="8"/>
        <v>0</v>
      </c>
      <c r="I87" s="15">
        <f t="shared" si="8"/>
        <v>0</v>
      </c>
      <c r="J87" s="15">
        <f t="shared" si="8"/>
        <v>0</v>
      </c>
      <c r="K87" s="15">
        <f t="shared" si="8"/>
        <v>0</v>
      </c>
      <c r="L87" s="15">
        <f t="shared" si="8"/>
        <v>0</v>
      </c>
      <c r="M87" s="15">
        <f t="shared" si="8"/>
        <v>0</v>
      </c>
      <c r="N87" s="15">
        <f t="shared" si="8"/>
        <v>0</v>
      </c>
      <c r="O87" s="15">
        <f t="shared" si="8"/>
        <v>0</v>
      </c>
      <c r="P87" s="15">
        <f t="shared" si="8"/>
        <v>0</v>
      </c>
      <c r="Q87" s="15">
        <f t="shared" si="8"/>
        <v>0</v>
      </c>
      <c r="R87" s="15">
        <f t="shared" si="8"/>
        <v>0</v>
      </c>
      <c r="S87" s="15">
        <f t="shared" si="8"/>
        <v>0</v>
      </c>
      <c r="T87" s="15">
        <f t="shared" si="8"/>
        <v>0</v>
      </c>
      <c r="U87" s="15">
        <f t="shared" si="8"/>
        <v>0</v>
      </c>
      <c r="V87" s="15">
        <f t="shared" si="8"/>
        <v>0</v>
      </c>
      <c r="W87" s="15">
        <f t="shared" si="8"/>
        <v>0</v>
      </c>
      <c r="X87" s="15">
        <f t="shared" si="8"/>
        <v>0</v>
      </c>
      <c r="Y87" s="15">
        <f t="shared" si="8"/>
        <v>0</v>
      </c>
      <c r="Z87" s="15">
        <f t="shared" si="8"/>
        <v>0</v>
      </c>
      <c r="AA87" s="15">
        <f t="shared" si="8"/>
        <v>0</v>
      </c>
      <c r="AB87" s="15">
        <f t="shared" si="8"/>
        <v>0</v>
      </c>
      <c r="AC87" s="15">
        <f t="shared" si="8"/>
        <v>0</v>
      </c>
      <c r="AD87" s="15">
        <f t="shared" si="8"/>
        <v>0</v>
      </c>
      <c r="AE87" s="15">
        <f t="shared" si="8"/>
        <v>0</v>
      </c>
      <c r="AF87" s="15">
        <f t="shared" si="8"/>
        <v>0</v>
      </c>
      <c r="AG87" s="15">
        <f t="shared" si="8"/>
        <v>0</v>
      </c>
      <c r="AH87" s="15">
        <f t="shared" si="8"/>
        <v>0</v>
      </c>
      <c r="AI87" s="15">
        <f t="shared" si="8"/>
        <v>0</v>
      </c>
      <c r="AJ87" s="15">
        <f t="shared" si="8"/>
        <v>0</v>
      </c>
      <c r="AK87" s="15">
        <f t="shared" si="8"/>
        <v>0</v>
      </c>
      <c r="AL87" s="15">
        <f t="shared" si="8"/>
        <v>0</v>
      </c>
      <c r="AM87" s="15">
        <f t="shared" si="8"/>
        <v>0</v>
      </c>
      <c r="AN87" s="15">
        <f t="shared" si="8"/>
        <v>0</v>
      </c>
      <c r="AO87" s="15">
        <f t="shared" si="8"/>
        <v>0</v>
      </c>
      <c r="AP87" s="15">
        <f t="shared" si="8"/>
        <v>0</v>
      </c>
      <c r="AQ87" s="15">
        <f t="shared" si="8"/>
        <v>0</v>
      </c>
      <c r="AR87" s="15">
        <f t="shared" si="8"/>
        <v>0</v>
      </c>
      <c r="AS87" s="15">
        <f t="shared" si="8"/>
        <v>0</v>
      </c>
      <c r="AT87" s="15">
        <f t="shared" si="8"/>
        <v>0</v>
      </c>
      <c r="AU87" s="15">
        <f t="shared" si="8"/>
        <v>0</v>
      </c>
      <c r="AV87" s="15">
        <f t="shared" si="8"/>
        <v>0</v>
      </c>
      <c r="AW87" s="15">
        <f t="shared" si="8"/>
        <v>0</v>
      </c>
    </row>
    <row r="88" spans="2:49" x14ac:dyDescent="0.25">
      <c r="B88" s="15">
        <f>SUM(B32:B33)-B31</f>
        <v>0</v>
      </c>
      <c r="C88" s="15">
        <f t="shared" ref="C88:AW88" si="9">SUM(C32:C33)-C31</f>
        <v>0</v>
      </c>
      <c r="D88" s="15">
        <f t="shared" si="9"/>
        <v>0</v>
      </c>
      <c r="E88" s="15">
        <f t="shared" si="9"/>
        <v>0</v>
      </c>
      <c r="F88" s="15">
        <f t="shared" si="9"/>
        <v>0</v>
      </c>
      <c r="G88" s="15">
        <f t="shared" si="9"/>
        <v>0</v>
      </c>
      <c r="H88" s="15">
        <f t="shared" si="9"/>
        <v>0</v>
      </c>
      <c r="I88" s="15">
        <f t="shared" si="9"/>
        <v>0</v>
      </c>
      <c r="J88" s="15">
        <f t="shared" si="9"/>
        <v>0</v>
      </c>
      <c r="K88" s="15">
        <f t="shared" si="9"/>
        <v>0</v>
      </c>
      <c r="L88" s="15">
        <f t="shared" si="9"/>
        <v>0</v>
      </c>
      <c r="M88" s="15">
        <f t="shared" si="9"/>
        <v>0</v>
      </c>
      <c r="N88" s="15">
        <f t="shared" si="9"/>
        <v>0</v>
      </c>
      <c r="O88" s="15">
        <f t="shared" si="9"/>
        <v>0</v>
      </c>
      <c r="P88" s="15">
        <f t="shared" si="9"/>
        <v>0</v>
      </c>
      <c r="Q88" s="15">
        <f t="shared" si="9"/>
        <v>0</v>
      </c>
      <c r="R88" s="15">
        <f t="shared" si="9"/>
        <v>0</v>
      </c>
      <c r="S88" s="15">
        <f t="shared" si="9"/>
        <v>0</v>
      </c>
      <c r="T88" s="15">
        <f t="shared" si="9"/>
        <v>0</v>
      </c>
      <c r="U88" s="15">
        <f t="shared" si="9"/>
        <v>0</v>
      </c>
      <c r="V88" s="15">
        <f t="shared" si="9"/>
        <v>0</v>
      </c>
      <c r="W88" s="15">
        <f t="shared" si="9"/>
        <v>0</v>
      </c>
      <c r="X88" s="15">
        <f t="shared" si="9"/>
        <v>0</v>
      </c>
      <c r="Y88" s="15">
        <f t="shared" si="9"/>
        <v>0</v>
      </c>
      <c r="Z88" s="15">
        <f t="shared" si="9"/>
        <v>0</v>
      </c>
      <c r="AA88" s="15">
        <f t="shared" si="9"/>
        <v>0</v>
      </c>
      <c r="AB88" s="15">
        <f t="shared" si="9"/>
        <v>0</v>
      </c>
      <c r="AC88" s="15">
        <f t="shared" si="9"/>
        <v>0</v>
      </c>
      <c r="AD88" s="15">
        <f t="shared" si="9"/>
        <v>0</v>
      </c>
      <c r="AE88" s="15">
        <f t="shared" si="9"/>
        <v>0</v>
      </c>
      <c r="AF88" s="15">
        <f t="shared" si="9"/>
        <v>0</v>
      </c>
      <c r="AG88" s="15">
        <f t="shared" si="9"/>
        <v>0</v>
      </c>
      <c r="AH88" s="15">
        <f t="shared" si="9"/>
        <v>0</v>
      </c>
      <c r="AI88" s="15">
        <f t="shared" si="9"/>
        <v>0</v>
      </c>
      <c r="AJ88" s="15">
        <f t="shared" si="9"/>
        <v>0</v>
      </c>
      <c r="AK88" s="15">
        <f t="shared" si="9"/>
        <v>0</v>
      </c>
      <c r="AL88" s="15">
        <f t="shared" si="9"/>
        <v>0</v>
      </c>
      <c r="AM88" s="15">
        <f t="shared" si="9"/>
        <v>0</v>
      </c>
      <c r="AN88" s="15">
        <f t="shared" si="9"/>
        <v>0</v>
      </c>
      <c r="AO88" s="15">
        <f t="shared" si="9"/>
        <v>0</v>
      </c>
      <c r="AP88" s="15">
        <f t="shared" si="9"/>
        <v>0</v>
      </c>
      <c r="AQ88" s="15">
        <f t="shared" si="9"/>
        <v>0</v>
      </c>
      <c r="AR88" s="15">
        <f t="shared" si="9"/>
        <v>0</v>
      </c>
      <c r="AS88" s="15">
        <f t="shared" si="9"/>
        <v>0</v>
      </c>
      <c r="AT88" s="15">
        <f t="shared" si="9"/>
        <v>0</v>
      </c>
      <c r="AU88" s="15">
        <f t="shared" si="9"/>
        <v>0</v>
      </c>
      <c r="AV88" s="15">
        <f t="shared" si="9"/>
        <v>0</v>
      </c>
      <c r="AW88" s="15">
        <f t="shared" si="9"/>
        <v>0</v>
      </c>
    </row>
    <row r="89" spans="2:49" x14ac:dyDescent="0.25">
      <c r="B89" s="15">
        <f>SUM(B35:B36)-B34</f>
        <v>0</v>
      </c>
      <c r="C89" s="15">
        <f t="shared" ref="C89:AW89" si="10">SUM(C35:C36)-C34</f>
        <v>0</v>
      </c>
      <c r="D89" s="15">
        <f t="shared" si="10"/>
        <v>0</v>
      </c>
      <c r="E89" s="15">
        <f t="shared" si="10"/>
        <v>0</v>
      </c>
      <c r="F89" s="15">
        <f t="shared" si="10"/>
        <v>0</v>
      </c>
      <c r="G89" s="15">
        <f t="shared" si="10"/>
        <v>0</v>
      </c>
      <c r="H89" s="15">
        <f t="shared" si="10"/>
        <v>0</v>
      </c>
      <c r="I89" s="15">
        <f t="shared" si="10"/>
        <v>0</v>
      </c>
      <c r="J89" s="15">
        <f t="shared" si="10"/>
        <v>0</v>
      </c>
      <c r="K89" s="15">
        <f t="shared" si="10"/>
        <v>0</v>
      </c>
      <c r="L89" s="15">
        <f t="shared" si="10"/>
        <v>0</v>
      </c>
      <c r="M89" s="15">
        <f t="shared" si="10"/>
        <v>0</v>
      </c>
      <c r="N89" s="15">
        <f t="shared" si="10"/>
        <v>0</v>
      </c>
      <c r="O89" s="15">
        <f t="shared" si="10"/>
        <v>0</v>
      </c>
      <c r="P89" s="15">
        <f t="shared" si="10"/>
        <v>0</v>
      </c>
      <c r="Q89" s="15">
        <f t="shared" si="10"/>
        <v>0</v>
      </c>
      <c r="R89" s="15">
        <f t="shared" si="10"/>
        <v>0</v>
      </c>
      <c r="S89" s="15">
        <f t="shared" si="10"/>
        <v>0</v>
      </c>
      <c r="T89" s="15">
        <f t="shared" si="10"/>
        <v>0</v>
      </c>
      <c r="U89" s="15">
        <f t="shared" si="10"/>
        <v>0</v>
      </c>
      <c r="V89" s="15">
        <f t="shared" si="10"/>
        <v>0</v>
      </c>
      <c r="W89" s="15">
        <f t="shared" si="10"/>
        <v>0</v>
      </c>
      <c r="X89" s="15">
        <f t="shared" si="10"/>
        <v>0</v>
      </c>
      <c r="Y89" s="15">
        <f t="shared" si="10"/>
        <v>0</v>
      </c>
      <c r="Z89" s="15">
        <f t="shared" si="10"/>
        <v>0</v>
      </c>
      <c r="AA89" s="15">
        <f t="shared" si="10"/>
        <v>0</v>
      </c>
      <c r="AB89" s="15">
        <f t="shared" si="10"/>
        <v>0</v>
      </c>
      <c r="AC89" s="15">
        <f t="shared" si="10"/>
        <v>0</v>
      </c>
      <c r="AD89" s="15">
        <f t="shared" si="10"/>
        <v>0</v>
      </c>
      <c r="AE89" s="15">
        <f t="shared" si="10"/>
        <v>0</v>
      </c>
      <c r="AF89" s="15">
        <f t="shared" si="10"/>
        <v>0</v>
      </c>
      <c r="AG89" s="15">
        <f t="shared" si="10"/>
        <v>0</v>
      </c>
      <c r="AH89" s="15">
        <f t="shared" si="10"/>
        <v>0</v>
      </c>
      <c r="AI89" s="15">
        <f t="shared" si="10"/>
        <v>0</v>
      </c>
      <c r="AJ89" s="15">
        <f t="shared" si="10"/>
        <v>0</v>
      </c>
      <c r="AK89" s="15">
        <f t="shared" si="10"/>
        <v>0</v>
      </c>
      <c r="AL89" s="15">
        <f t="shared" si="10"/>
        <v>0</v>
      </c>
      <c r="AM89" s="15">
        <f t="shared" si="10"/>
        <v>0</v>
      </c>
      <c r="AN89" s="15">
        <f t="shared" si="10"/>
        <v>0</v>
      </c>
      <c r="AO89" s="15">
        <f t="shared" si="10"/>
        <v>0</v>
      </c>
      <c r="AP89" s="15">
        <f t="shared" si="10"/>
        <v>0</v>
      </c>
      <c r="AQ89" s="15">
        <f t="shared" si="10"/>
        <v>0</v>
      </c>
      <c r="AR89" s="15">
        <f t="shared" si="10"/>
        <v>0</v>
      </c>
      <c r="AS89" s="15">
        <f t="shared" si="10"/>
        <v>0</v>
      </c>
      <c r="AT89" s="15">
        <f t="shared" si="10"/>
        <v>0</v>
      </c>
      <c r="AU89" s="15">
        <f t="shared" si="10"/>
        <v>0</v>
      </c>
      <c r="AV89" s="15">
        <f t="shared" si="10"/>
        <v>0</v>
      </c>
      <c r="AW89" s="15">
        <f t="shared" si="10"/>
        <v>0</v>
      </c>
    </row>
    <row r="90" spans="2:49" x14ac:dyDescent="0.25">
      <c r="B90" s="15">
        <f>SUM(B39:B40)-B38</f>
        <v>0</v>
      </c>
      <c r="C90" s="15">
        <f t="shared" ref="C90:AW90" si="11">SUM(C39:C40)-C38</f>
        <v>0</v>
      </c>
      <c r="D90" s="15">
        <f t="shared" si="11"/>
        <v>0</v>
      </c>
      <c r="E90" s="15">
        <f t="shared" si="11"/>
        <v>0</v>
      </c>
      <c r="F90" s="15">
        <f t="shared" si="11"/>
        <v>0</v>
      </c>
      <c r="G90" s="15">
        <f t="shared" si="11"/>
        <v>0</v>
      </c>
      <c r="H90" s="15">
        <f t="shared" si="11"/>
        <v>0</v>
      </c>
      <c r="I90" s="15">
        <f t="shared" si="11"/>
        <v>0</v>
      </c>
      <c r="J90" s="15">
        <f t="shared" si="11"/>
        <v>0</v>
      </c>
      <c r="K90" s="15">
        <f t="shared" si="11"/>
        <v>0</v>
      </c>
      <c r="L90" s="15">
        <f t="shared" si="11"/>
        <v>0</v>
      </c>
      <c r="M90" s="15">
        <f t="shared" si="11"/>
        <v>0</v>
      </c>
      <c r="N90" s="15">
        <f t="shared" si="11"/>
        <v>0</v>
      </c>
      <c r="O90" s="15">
        <f t="shared" si="11"/>
        <v>0</v>
      </c>
      <c r="P90" s="15">
        <f t="shared" si="11"/>
        <v>0</v>
      </c>
      <c r="Q90" s="15">
        <f t="shared" si="11"/>
        <v>0</v>
      </c>
      <c r="R90" s="15">
        <f t="shared" si="11"/>
        <v>0</v>
      </c>
      <c r="S90" s="15">
        <f t="shared" si="11"/>
        <v>0</v>
      </c>
      <c r="T90" s="15">
        <f t="shared" si="11"/>
        <v>0</v>
      </c>
      <c r="U90" s="15">
        <f t="shared" si="11"/>
        <v>0</v>
      </c>
      <c r="V90" s="15">
        <f t="shared" si="11"/>
        <v>0</v>
      </c>
      <c r="W90" s="15">
        <f t="shared" si="11"/>
        <v>0</v>
      </c>
      <c r="X90" s="15">
        <f t="shared" si="11"/>
        <v>0</v>
      </c>
      <c r="Y90" s="15">
        <f t="shared" si="11"/>
        <v>0</v>
      </c>
      <c r="Z90" s="15">
        <f t="shared" si="11"/>
        <v>0</v>
      </c>
      <c r="AA90" s="15">
        <f t="shared" si="11"/>
        <v>0</v>
      </c>
      <c r="AB90" s="15">
        <f t="shared" si="11"/>
        <v>0</v>
      </c>
      <c r="AC90" s="15">
        <f t="shared" si="11"/>
        <v>0</v>
      </c>
      <c r="AD90" s="15">
        <f t="shared" si="11"/>
        <v>0</v>
      </c>
      <c r="AE90" s="15">
        <f t="shared" si="11"/>
        <v>0</v>
      </c>
      <c r="AF90" s="15">
        <f t="shared" si="11"/>
        <v>0</v>
      </c>
      <c r="AG90" s="15">
        <f t="shared" si="11"/>
        <v>0</v>
      </c>
      <c r="AH90" s="15">
        <f t="shared" si="11"/>
        <v>0</v>
      </c>
      <c r="AI90" s="15">
        <f t="shared" si="11"/>
        <v>0</v>
      </c>
      <c r="AJ90" s="15">
        <f t="shared" si="11"/>
        <v>0</v>
      </c>
      <c r="AK90" s="15">
        <f t="shared" si="11"/>
        <v>0</v>
      </c>
      <c r="AL90" s="15">
        <f t="shared" si="11"/>
        <v>0</v>
      </c>
      <c r="AM90" s="15">
        <f t="shared" si="11"/>
        <v>0</v>
      </c>
      <c r="AN90" s="15">
        <f t="shared" si="11"/>
        <v>0</v>
      </c>
      <c r="AO90" s="15">
        <f t="shared" si="11"/>
        <v>0</v>
      </c>
      <c r="AP90" s="15">
        <f t="shared" si="11"/>
        <v>0</v>
      </c>
      <c r="AQ90" s="15">
        <f t="shared" si="11"/>
        <v>0</v>
      </c>
      <c r="AR90" s="15">
        <f t="shared" si="11"/>
        <v>0</v>
      </c>
      <c r="AS90" s="15">
        <f t="shared" si="11"/>
        <v>0</v>
      </c>
      <c r="AT90" s="15">
        <f t="shared" si="11"/>
        <v>0</v>
      </c>
      <c r="AU90" s="15">
        <f t="shared" si="11"/>
        <v>0</v>
      </c>
      <c r="AV90" s="15">
        <f t="shared" si="11"/>
        <v>0</v>
      </c>
      <c r="AW90" s="15">
        <f t="shared" si="11"/>
        <v>0</v>
      </c>
    </row>
    <row r="91" spans="2:49" x14ac:dyDescent="0.25">
      <c r="B91" s="15">
        <f>SUM(B42:B45,B47)-B41</f>
        <v>0</v>
      </c>
      <c r="C91" s="15">
        <f t="shared" ref="C91:AW91" si="12">SUM(C42:C45,C47)-C41</f>
        <v>0</v>
      </c>
      <c r="D91" s="15">
        <f t="shared" si="12"/>
        <v>0</v>
      </c>
      <c r="E91" s="15">
        <f t="shared" si="12"/>
        <v>0</v>
      </c>
      <c r="F91" s="15">
        <f t="shared" si="12"/>
        <v>0</v>
      </c>
      <c r="G91" s="15">
        <f t="shared" si="12"/>
        <v>0</v>
      </c>
      <c r="H91" s="15">
        <f t="shared" si="12"/>
        <v>0</v>
      </c>
      <c r="I91" s="15">
        <f t="shared" si="12"/>
        <v>0</v>
      </c>
      <c r="J91" s="15">
        <f t="shared" si="12"/>
        <v>0</v>
      </c>
      <c r="K91" s="15">
        <f t="shared" si="12"/>
        <v>0</v>
      </c>
      <c r="L91" s="15">
        <f t="shared" si="12"/>
        <v>0</v>
      </c>
      <c r="M91" s="15">
        <f t="shared" si="12"/>
        <v>0</v>
      </c>
      <c r="N91" s="15">
        <f t="shared" si="12"/>
        <v>0</v>
      </c>
      <c r="O91" s="15">
        <f t="shared" si="12"/>
        <v>0</v>
      </c>
      <c r="P91" s="15">
        <f t="shared" si="12"/>
        <v>0</v>
      </c>
      <c r="Q91" s="15">
        <f t="shared" si="12"/>
        <v>0</v>
      </c>
      <c r="R91" s="15">
        <f t="shared" si="12"/>
        <v>0</v>
      </c>
      <c r="S91" s="15">
        <f t="shared" si="12"/>
        <v>0</v>
      </c>
      <c r="T91" s="15">
        <f t="shared" si="12"/>
        <v>0</v>
      </c>
      <c r="U91" s="15">
        <f t="shared" si="12"/>
        <v>0</v>
      </c>
      <c r="V91" s="15">
        <f t="shared" si="12"/>
        <v>0</v>
      </c>
      <c r="W91" s="15">
        <f t="shared" si="12"/>
        <v>0</v>
      </c>
      <c r="X91" s="15">
        <f t="shared" si="12"/>
        <v>0</v>
      </c>
      <c r="Y91" s="15">
        <f t="shared" si="12"/>
        <v>0</v>
      </c>
      <c r="Z91" s="15">
        <f t="shared" si="12"/>
        <v>0</v>
      </c>
      <c r="AA91" s="15">
        <f t="shared" si="12"/>
        <v>0</v>
      </c>
      <c r="AB91" s="15">
        <f t="shared" si="12"/>
        <v>0</v>
      </c>
      <c r="AC91" s="15">
        <f t="shared" si="12"/>
        <v>0</v>
      </c>
      <c r="AD91" s="15">
        <f t="shared" si="12"/>
        <v>0</v>
      </c>
      <c r="AE91" s="15">
        <f t="shared" si="12"/>
        <v>0</v>
      </c>
      <c r="AF91" s="15">
        <f t="shared" si="12"/>
        <v>0</v>
      </c>
      <c r="AG91" s="15">
        <f t="shared" si="12"/>
        <v>0</v>
      </c>
      <c r="AH91" s="15">
        <f t="shared" si="12"/>
        <v>0</v>
      </c>
      <c r="AI91" s="15">
        <f t="shared" si="12"/>
        <v>0</v>
      </c>
      <c r="AJ91" s="15">
        <f t="shared" si="12"/>
        <v>0</v>
      </c>
      <c r="AK91" s="15">
        <f t="shared" si="12"/>
        <v>0</v>
      </c>
      <c r="AL91" s="15">
        <f t="shared" si="12"/>
        <v>0</v>
      </c>
      <c r="AM91" s="15">
        <f t="shared" si="12"/>
        <v>0</v>
      </c>
      <c r="AN91" s="15">
        <f t="shared" si="12"/>
        <v>0</v>
      </c>
      <c r="AO91" s="15">
        <f t="shared" si="12"/>
        <v>0</v>
      </c>
      <c r="AP91" s="15">
        <f t="shared" si="12"/>
        <v>0</v>
      </c>
      <c r="AQ91" s="15">
        <f t="shared" si="12"/>
        <v>0</v>
      </c>
      <c r="AR91" s="15">
        <f t="shared" si="12"/>
        <v>0</v>
      </c>
      <c r="AS91" s="15">
        <f t="shared" si="12"/>
        <v>0</v>
      </c>
      <c r="AT91" s="15">
        <f t="shared" si="12"/>
        <v>0</v>
      </c>
      <c r="AU91" s="15">
        <f t="shared" si="12"/>
        <v>0</v>
      </c>
      <c r="AV91" s="15">
        <f t="shared" si="12"/>
        <v>0</v>
      </c>
      <c r="AW91" s="15">
        <f t="shared" si="12"/>
        <v>0</v>
      </c>
    </row>
    <row r="92" spans="2:49" x14ac:dyDescent="0.25">
      <c r="B92" s="15">
        <f>SUM(B52:B53)-B51</f>
        <v>0</v>
      </c>
      <c r="C92" s="15">
        <f t="shared" ref="C92:AW92" si="13">SUM(C52:C53)-C51</f>
        <v>0</v>
      </c>
      <c r="D92" s="15">
        <f t="shared" si="13"/>
        <v>0</v>
      </c>
      <c r="E92" s="15">
        <f t="shared" si="13"/>
        <v>0</v>
      </c>
      <c r="F92" s="15">
        <f>SUM(F52:F53)-F51</f>
        <v>0</v>
      </c>
      <c r="G92" s="15">
        <f t="shared" si="13"/>
        <v>0</v>
      </c>
      <c r="H92" s="15">
        <f t="shared" si="13"/>
        <v>0</v>
      </c>
      <c r="I92" s="15">
        <f t="shared" si="13"/>
        <v>0</v>
      </c>
      <c r="J92" s="15">
        <f t="shared" si="13"/>
        <v>0</v>
      </c>
      <c r="K92" s="15">
        <f t="shared" si="13"/>
        <v>0</v>
      </c>
      <c r="L92" s="15">
        <f t="shared" si="13"/>
        <v>0</v>
      </c>
      <c r="M92" s="15">
        <f t="shared" si="13"/>
        <v>0</v>
      </c>
      <c r="N92" s="15">
        <f t="shared" si="13"/>
        <v>0</v>
      </c>
      <c r="O92" s="15">
        <f t="shared" si="13"/>
        <v>0</v>
      </c>
      <c r="P92" s="15">
        <f t="shared" si="13"/>
        <v>0</v>
      </c>
      <c r="Q92" s="15">
        <f t="shared" si="13"/>
        <v>0</v>
      </c>
      <c r="R92" s="15">
        <f t="shared" si="13"/>
        <v>0</v>
      </c>
      <c r="S92" s="15">
        <f t="shared" si="13"/>
        <v>0</v>
      </c>
      <c r="T92" s="15">
        <f t="shared" si="13"/>
        <v>0</v>
      </c>
      <c r="U92" s="15">
        <f t="shared" si="13"/>
        <v>0</v>
      </c>
      <c r="V92" s="15">
        <f t="shared" si="13"/>
        <v>0</v>
      </c>
      <c r="W92" s="15">
        <f t="shared" si="13"/>
        <v>0</v>
      </c>
      <c r="X92" s="15">
        <f t="shared" si="13"/>
        <v>0</v>
      </c>
      <c r="Y92" s="15">
        <f t="shared" si="13"/>
        <v>0</v>
      </c>
      <c r="Z92" s="15">
        <f t="shared" si="13"/>
        <v>0</v>
      </c>
      <c r="AA92" s="15">
        <f t="shared" si="13"/>
        <v>0</v>
      </c>
      <c r="AB92" s="15">
        <f t="shared" si="13"/>
        <v>0</v>
      </c>
      <c r="AC92" s="15">
        <f t="shared" si="13"/>
        <v>0</v>
      </c>
      <c r="AD92" s="15">
        <f t="shared" si="13"/>
        <v>0</v>
      </c>
      <c r="AE92" s="15">
        <f t="shared" si="13"/>
        <v>0</v>
      </c>
      <c r="AF92" s="15">
        <f t="shared" si="13"/>
        <v>0</v>
      </c>
      <c r="AG92" s="15">
        <f t="shared" si="13"/>
        <v>0</v>
      </c>
      <c r="AH92" s="15">
        <f t="shared" si="13"/>
        <v>0</v>
      </c>
      <c r="AI92" s="15">
        <f t="shared" si="13"/>
        <v>0</v>
      </c>
      <c r="AJ92" s="15">
        <f t="shared" si="13"/>
        <v>0</v>
      </c>
      <c r="AK92" s="15">
        <f t="shared" si="13"/>
        <v>0</v>
      </c>
      <c r="AL92" s="15">
        <f t="shared" si="13"/>
        <v>0</v>
      </c>
      <c r="AM92" s="15">
        <f t="shared" si="13"/>
        <v>0</v>
      </c>
      <c r="AN92" s="15">
        <f t="shared" si="13"/>
        <v>0</v>
      </c>
      <c r="AO92" s="15">
        <f t="shared" si="13"/>
        <v>0</v>
      </c>
      <c r="AP92" s="15">
        <f t="shared" si="13"/>
        <v>0</v>
      </c>
      <c r="AQ92" s="15">
        <f t="shared" si="13"/>
        <v>0</v>
      </c>
      <c r="AR92" s="15">
        <f t="shared" si="13"/>
        <v>0</v>
      </c>
      <c r="AS92" s="15">
        <f t="shared" si="13"/>
        <v>0</v>
      </c>
      <c r="AT92" s="15">
        <f t="shared" si="13"/>
        <v>0</v>
      </c>
      <c r="AU92" s="15">
        <f t="shared" si="13"/>
        <v>0</v>
      </c>
      <c r="AV92" s="15">
        <f t="shared" si="13"/>
        <v>0</v>
      </c>
      <c r="AW92" s="15">
        <f t="shared" si="13"/>
        <v>0</v>
      </c>
    </row>
    <row r="93" spans="2:49" x14ac:dyDescent="0.25">
      <c r="B93" s="15">
        <f>SUM(B59:B62)-B58</f>
        <v>0</v>
      </c>
      <c r="C93" s="15">
        <f t="shared" ref="C93:AW93" si="14">SUM(C59:C62)-C58</f>
        <v>0</v>
      </c>
      <c r="D93" s="15">
        <f>SUM(D59:D62)-D58</f>
        <v>0</v>
      </c>
      <c r="E93" s="15">
        <f>SUM(E59:E62)-E58</f>
        <v>0</v>
      </c>
      <c r="F93" s="15">
        <f t="shared" si="14"/>
        <v>0</v>
      </c>
      <c r="G93" s="15">
        <f t="shared" si="14"/>
        <v>0</v>
      </c>
      <c r="H93" s="15">
        <f t="shared" si="14"/>
        <v>0</v>
      </c>
      <c r="I93" s="15">
        <f t="shared" si="14"/>
        <v>0</v>
      </c>
      <c r="J93" s="15">
        <f t="shared" si="14"/>
        <v>0</v>
      </c>
      <c r="K93" s="15">
        <f t="shared" si="14"/>
        <v>0</v>
      </c>
      <c r="L93" s="15">
        <f t="shared" si="14"/>
        <v>0</v>
      </c>
      <c r="M93" s="15">
        <f t="shared" si="14"/>
        <v>0</v>
      </c>
      <c r="N93" s="15">
        <f t="shared" si="14"/>
        <v>0</v>
      </c>
      <c r="O93" s="15">
        <f t="shared" si="14"/>
        <v>0</v>
      </c>
      <c r="P93" s="15">
        <f t="shared" si="14"/>
        <v>0</v>
      </c>
      <c r="Q93" s="15">
        <f t="shared" si="14"/>
        <v>0</v>
      </c>
      <c r="R93" s="15">
        <f t="shared" si="14"/>
        <v>0</v>
      </c>
      <c r="S93" s="15">
        <f t="shared" si="14"/>
        <v>0</v>
      </c>
      <c r="T93" s="15">
        <f t="shared" si="14"/>
        <v>0</v>
      </c>
      <c r="U93" s="15">
        <f t="shared" si="14"/>
        <v>0</v>
      </c>
      <c r="V93" s="15">
        <f t="shared" si="14"/>
        <v>0</v>
      </c>
      <c r="W93" s="15">
        <f t="shared" si="14"/>
        <v>0</v>
      </c>
      <c r="X93" s="15">
        <f t="shared" si="14"/>
        <v>0</v>
      </c>
      <c r="Y93" s="15">
        <f t="shared" si="14"/>
        <v>0</v>
      </c>
      <c r="Z93" s="15">
        <f t="shared" si="14"/>
        <v>0</v>
      </c>
      <c r="AA93" s="15">
        <f t="shared" si="14"/>
        <v>0</v>
      </c>
      <c r="AB93" s="15">
        <f t="shared" si="14"/>
        <v>0</v>
      </c>
      <c r="AC93" s="15">
        <f t="shared" si="14"/>
        <v>0</v>
      </c>
      <c r="AD93" s="15">
        <f t="shared" si="14"/>
        <v>0</v>
      </c>
      <c r="AE93" s="15">
        <f t="shared" si="14"/>
        <v>0</v>
      </c>
      <c r="AF93" s="15">
        <f t="shared" si="14"/>
        <v>0</v>
      </c>
      <c r="AG93" s="15">
        <f t="shared" si="14"/>
        <v>0</v>
      </c>
      <c r="AH93" s="15">
        <f t="shared" si="14"/>
        <v>0</v>
      </c>
      <c r="AI93" s="15">
        <f t="shared" si="14"/>
        <v>0</v>
      </c>
      <c r="AJ93" s="15">
        <f t="shared" si="14"/>
        <v>0</v>
      </c>
      <c r="AK93" s="15">
        <f t="shared" si="14"/>
        <v>0</v>
      </c>
      <c r="AL93" s="15">
        <f t="shared" si="14"/>
        <v>0</v>
      </c>
      <c r="AM93" s="15">
        <f t="shared" si="14"/>
        <v>0</v>
      </c>
      <c r="AN93" s="15">
        <f t="shared" si="14"/>
        <v>0</v>
      </c>
      <c r="AO93" s="15">
        <f t="shared" si="14"/>
        <v>0</v>
      </c>
      <c r="AP93" s="15">
        <f t="shared" si="14"/>
        <v>0</v>
      </c>
      <c r="AQ93" s="15">
        <f t="shared" si="14"/>
        <v>0</v>
      </c>
      <c r="AR93" s="15">
        <f t="shared" si="14"/>
        <v>0</v>
      </c>
      <c r="AS93" s="15">
        <f t="shared" si="14"/>
        <v>0</v>
      </c>
      <c r="AT93" s="15">
        <f t="shared" si="14"/>
        <v>0</v>
      </c>
      <c r="AU93" s="15">
        <f t="shared" si="14"/>
        <v>0</v>
      </c>
      <c r="AV93" s="15">
        <f t="shared" si="14"/>
        <v>0</v>
      </c>
      <c r="AW93" s="15">
        <f t="shared" si="14"/>
        <v>0</v>
      </c>
    </row>
    <row r="94" spans="2:49" x14ac:dyDescent="0.25">
      <c r="B94" s="15">
        <f>SUM(B65:B70)-B64</f>
        <v>0</v>
      </c>
      <c r="C94" s="15">
        <f t="shared" ref="C94:AW94" si="15">SUM(C65:C70)-C64</f>
        <v>0</v>
      </c>
      <c r="D94" s="15">
        <f t="shared" si="15"/>
        <v>0</v>
      </c>
      <c r="E94" s="15">
        <f t="shared" si="15"/>
        <v>0</v>
      </c>
      <c r="F94" s="15">
        <f t="shared" si="15"/>
        <v>0</v>
      </c>
      <c r="G94" s="15">
        <f t="shared" si="15"/>
        <v>0</v>
      </c>
      <c r="H94" s="15">
        <f t="shared" si="15"/>
        <v>0</v>
      </c>
      <c r="I94" s="15">
        <f t="shared" si="15"/>
        <v>0</v>
      </c>
      <c r="J94" s="15">
        <f t="shared" si="15"/>
        <v>0</v>
      </c>
      <c r="K94" s="15">
        <f t="shared" si="15"/>
        <v>0</v>
      </c>
      <c r="L94" s="15">
        <f t="shared" si="15"/>
        <v>0</v>
      </c>
      <c r="M94" s="15">
        <f t="shared" si="15"/>
        <v>0</v>
      </c>
      <c r="N94" s="15">
        <f t="shared" si="15"/>
        <v>0</v>
      </c>
      <c r="O94" s="15">
        <f t="shared" si="15"/>
        <v>0</v>
      </c>
      <c r="P94" s="15">
        <f t="shared" si="15"/>
        <v>0</v>
      </c>
      <c r="Q94" s="15">
        <f t="shared" si="15"/>
        <v>0</v>
      </c>
      <c r="R94" s="15">
        <f t="shared" si="15"/>
        <v>0</v>
      </c>
      <c r="S94" s="15">
        <f t="shared" si="15"/>
        <v>0</v>
      </c>
      <c r="T94" s="15">
        <f t="shared" si="15"/>
        <v>0</v>
      </c>
      <c r="U94" s="15">
        <f t="shared" si="15"/>
        <v>0</v>
      </c>
      <c r="V94" s="15">
        <f t="shared" si="15"/>
        <v>0</v>
      </c>
      <c r="W94" s="15">
        <f t="shared" si="15"/>
        <v>0</v>
      </c>
      <c r="X94" s="15">
        <f t="shared" si="15"/>
        <v>0</v>
      </c>
      <c r="Y94" s="15">
        <f t="shared" si="15"/>
        <v>0</v>
      </c>
      <c r="Z94" s="15">
        <f t="shared" si="15"/>
        <v>0</v>
      </c>
      <c r="AA94" s="15">
        <f t="shared" si="15"/>
        <v>0</v>
      </c>
      <c r="AB94" s="15">
        <f t="shared" si="15"/>
        <v>0</v>
      </c>
      <c r="AC94" s="15">
        <f t="shared" si="15"/>
        <v>0</v>
      </c>
      <c r="AD94" s="15">
        <f t="shared" si="15"/>
        <v>0</v>
      </c>
      <c r="AE94" s="15">
        <f t="shared" si="15"/>
        <v>0</v>
      </c>
      <c r="AF94" s="15">
        <f t="shared" si="15"/>
        <v>0</v>
      </c>
      <c r="AG94" s="15">
        <f t="shared" si="15"/>
        <v>0</v>
      </c>
      <c r="AH94" s="15">
        <f t="shared" si="15"/>
        <v>0</v>
      </c>
      <c r="AI94" s="15">
        <f t="shared" si="15"/>
        <v>0</v>
      </c>
      <c r="AJ94" s="15">
        <f t="shared" si="15"/>
        <v>0</v>
      </c>
      <c r="AK94" s="15">
        <f t="shared" si="15"/>
        <v>0</v>
      </c>
      <c r="AL94" s="15">
        <f t="shared" si="15"/>
        <v>0</v>
      </c>
      <c r="AM94" s="15">
        <f t="shared" si="15"/>
        <v>0</v>
      </c>
      <c r="AN94" s="15">
        <f t="shared" si="15"/>
        <v>0</v>
      </c>
      <c r="AO94" s="15">
        <f t="shared" si="15"/>
        <v>0</v>
      </c>
      <c r="AP94" s="15">
        <f t="shared" si="15"/>
        <v>0</v>
      </c>
      <c r="AQ94" s="15">
        <f t="shared" si="15"/>
        <v>0</v>
      </c>
      <c r="AR94" s="15">
        <f t="shared" si="15"/>
        <v>0</v>
      </c>
      <c r="AS94" s="15">
        <f t="shared" si="15"/>
        <v>0</v>
      </c>
      <c r="AT94" s="15">
        <f t="shared" si="15"/>
        <v>0</v>
      </c>
      <c r="AU94" s="15">
        <f t="shared" si="15"/>
        <v>0</v>
      </c>
      <c r="AV94" s="15">
        <f t="shared" si="15"/>
        <v>0</v>
      </c>
      <c r="AW94" s="15">
        <f t="shared" si="15"/>
        <v>0</v>
      </c>
    </row>
    <row r="95" spans="2:49" x14ac:dyDescent="0.25">
      <c r="B95" s="15">
        <f>SUM(B71:B75,B64)-B63</f>
        <v>0</v>
      </c>
      <c r="C95" s="15">
        <f t="shared" ref="C95:AW95" si="16">SUM(C71:C75,C64)-C63</f>
        <v>0</v>
      </c>
      <c r="D95" s="15">
        <f t="shared" si="16"/>
        <v>0</v>
      </c>
      <c r="E95" s="15">
        <f t="shared" si="16"/>
        <v>0</v>
      </c>
      <c r="F95" s="15">
        <f t="shared" si="16"/>
        <v>0</v>
      </c>
      <c r="G95" s="15">
        <f t="shared" si="16"/>
        <v>0</v>
      </c>
      <c r="H95" s="15">
        <f t="shared" si="16"/>
        <v>0</v>
      </c>
      <c r="I95" s="15">
        <f t="shared" si="16"/>
        <v>0</v>
      </c>
      <c r="J95" s="15">
        <f t="shared" si="16"/>
        <v>0</v>
      </c>
      <c r="K95" s="15">
        <f t="shared" si="16"/>
        <v>0</v>
      </c>
      <c r="L95" s="15">
        <f t="shared" si="16"/>
        <v>0</v>
      </c>
      <c r="M95" s="15">
        <f t="shared" si="16"/>
        <v>0</v>
      </c>
      <c r="N95" s="15">
        <f t="shared" si="16"/>
        <v>0</v>
      </c>
      <c r="O95" s="15">
        <f t="shared" si="16"/>
        <v>0</v>
      </c>
      <c r="P95" s="15">
        <f t="shared" si="16"/>
        <v>0</v>
      </c>
      <c r="Q95" s="15">
        <f t="shared" si="16"/>
        <v>0</v>
      </c>
      <c r="R95" s="15">
        <f t="shared" si="16"/>
        <v>0</v>
      </c>
      <c r="S95" s="15">
        <f t="shared" si="16"/>
        <v>0</v>
      </c>
      <c r="T95" s="15">
        <f t="shared" si="16"/>
        <v>0</v>
      </c>
      <c r="U95" s="15">
        <f t="shared" si="16"/>
        <v>0</v>
      </c>
      <c r="V95" s="15">
        <f t="shared" si="16"/>
        <v>0</v>
      </c>
      <c r="W95" s="15">
        <f t="shared" si="16"/>
        <v>0</v>
      </c>
      <c r="X95" s="15">
        <f t="shared" si="16"/>
        <v>0</v>
      </c>
      <c r="Y95" s="15">
        <f t="shared" si="16"/>
        <v>0</v>
      </c>
      <c r="Z95" s="15">
        <f t="shared" si="16"/>
        <v>0</v>
      </c>
      <c r="AA95" s="15">
        <f t="shared" si="16"/>
        <v>0</v>
      </c>
      <c r="AB95" s="15">
        <f t="shared" si="16"/>
        <v>0</v>
      </c>
      <c r="AC95" s="15">
        <f t="shared" si="16"/>
        <v>0</v>
      </c>
      <c r="AD95" s="15">
        <f t="shared" si="16"/>
        <v>0</v>
      </c>
      <c r="AE95" s="15">
        <f t="shared" si="16"/>
        <v>0</v>
      </c>
      <c r="AF95" s="15">
        <f t="shared" si="16"/>
        <v>0</v>
      </c>
      <c r="AG95" s="15">
        <f t="shared" si="16"/>
        <v>0</v>
      </c>
      <c r="AH95" s="15">
        <f t="shared" si="16"/>
        <v>0</v>
      </c>
      <c r="AI95" s="15">
        <f t="shared" si="16"/>
        <v>0</v>
      </c>
      <c r="AJ95" s="15">
        <f t="shared" si="16"/>
        <v>0</v>
      </c>
      <c r="AK95" s="15">
        <f t="shared" si="16"/>
        <v>0</v>
      </c>
      <c r="AL95" s="15">
        <f t="shared" si="16"/>
        <v>0</v>
      </c>
      <c r="AM95" s="15">
        <f t="shared" si="16"/>
        <v>0</v>
      </c>
      <c r="AN95" s="15">
        <f t="shared" si="16"/>
        <v>0</v>
      </c>
      <c r="AO95" s="15">
        <f t="shared" si="16"/>
        <v>0</v>
      </c>
      <c r="AP95" s="15">
        <f t="shared" si="16"/>
        <v>0</v>
      </c>
      <c r="AQ95" s="15">
        <f t="shared" si="16"/>
        <v>0</v>
      </c>
      <c r="AR95" s="15">
        <f t="shared" si="16"/>
        <v>0</v>
      </c>
      <c r="AS95" s="15">
        <f t="shared" si="16"/>
        <v>0</v>
      </c>
      <c r="AT95" s="15">
        <f t="shared" si="16"/>
        <v>0</v>
      </c>
      <c r="AU95" s="15">
        <f t="shared" si="16"/>
        <v>0</v>
      </c>
      <c r="AV95" s="15">
        <f t="shared" si="16"/>
        <v>0</v>
      </c>
      <c r="AW95" s="15">
        <f t="shared" si="16"/>
        <v>0</v>
      </c>
    </row>
    <row r="96" spans="2:49" x14ac:dyDescent="0.25">
      <c r="B96" s="15">
        <f>B27-B28-B31-B34-B37</f>
        <v>0</v>
      </c>
      <c r="C96" s="15">
        <f t="shared" ref="C96:AW96" si="17">C27-C28-C31-C34-C37</f>
        <v>0</v>
      </c>
      <c r="D96" s="15">
        <f>D27-D28-D31-D34-D37</f>
        <v>0</v>
      </c>
      <c r="E96" s="15">
        <f t="shared" si="17"/>
        <v>0</v>
      </c>
      <c r="F96" s="15">
        <f t="shared" si="17"/>
        <v>0</v>
      </c>
      <c r="G96" s="15">
        <f t="shared" si="17"/>
        <v>0</v>
      </c>
      <c r="H96" s="15">
        <f t="shared" si="17"/>
        <v>0</v>
      </c>
      <c r="I96" s="15">
        <f t="shared" si="17"/>
        <v>0</v>
      </c>
      <c r="J96" s="15">
        <f t="shared" si="17"/>
        <v>0</v>
      </c>
      <c r="K96" s="15">
        <f t="shared" si="17"/>
        <v>0</v>
      </c>
      <c r="L96" s="15">
        <f t="shared" si="17"/>
        <v>0</v>
      </c>
      <c r="M96" s="15">
        <f t="shared" si="17"/>
        <v>0</v>
      </c>
      <c r="N96" s="15">
        <f t="shared" si="17"/>
        <v>0</v>
      </c>
      <c r="O96" s="15">
        <f t="shared" si="17"/>
        <v>0</v>
      </c>
      <c r="P96" s="15">
        <f t="shared" si="17"/>
        <v>0</v>
      </c>
      <c r="Q96" s="15">
        <f t="shared" si="17"/>
        <v>0</v>
      </c>
      <c r="R96" s="15">
        <f t="shared" si="17"/>
        <v>0</v>
      </c>
      <c r="S96" s="15">
        <f t="shared" si="17"/>
        <v>0</v>
      </c>
      <c r="T96" s="15">
        <f t="shared" si="17"/>
        <v>0</v>
      </c>
      <c r="U96" s="15">
        <f t="shared" si="17"/>
        <v>0</v>
      </c>
      <c r="V96" s="15">
        <f t="shared" si="17"/>
        <v>0</v>
      </c>
      <c r="W96" s="15">
        <f t="shared" si="17"/>
        <v>0</v>
      </c>
      <c r="X96" s="15">
        <f t="shared" si="17"/>
        <v>0</v>
      </c>
      <c r="Y96" s="15">
        <f t="shared" si="17"/>
        <v>0</v>
      </c>
      <c r="Z96" s="15">
        <f t="shared" si="17"/>
        <v>0</v>
      </c>
      <c r="AA96" s="15">
        <f t="shared" si="17"/>
        <v>0</v>
      </c>
      <c r="AB96" s="15">
        <f t="shared" si="17"/>
        <v>0</v>
      </c>
      <c r="AC96" s="15">
        <f t="shared" si="17"/>
        <v>0</v>
      </c>
      <c r="AD96" s="15">
        <f t="shared" si="17"/>
        <v>0</v>
      </c>
      <c r="AE96" s="15">
        <f t="shared" si="17"/>
        <v>0</v>
      </c>
      <c r="AF96" s="15">
        <f t="shared" si="17"/>
        <v>0</v>
      </c>
      <c r="AG96" s="15">
        <f t="shared" si="17"/>
        <v>0</v>
      </c>
      <c r="AH96" s="15">
        <f t="shared" si="17"/>
        <v>0</v>
      </c>
      <c r="AI96" s="15">
        <f t="shared" si="17"/>
        <v>0</v>
      </c>
      <c r="AJ96" s="15">
        <f t="shared" si="17"/>
        <v>0</v>
      </c>
      <c r="AK96" s="15">
        <f t="shared" si="17"/>
        <v>0</v>
      </c>
      <c r="AL96" s="15">
        <f t="shared" si="17"/>
        <v>0</v>
      </c>
      <c r="AM96" s="15">
        <f t="shared" si="17"/>
        <v>0</v>
      </c>
      <c r="AN96" s="15">
        <f t="shared" si="17"/>
        <v>0</v>
      </c>
      <c r="AO96" s="15">
        <f t="shared" si="17"/>
        <v>0</v>
      </c>
      <c r="AP96" s="15">
        <f t="shared" si="17"/>
        <v>0</v>
      </c>
      <c r="AQ96" s="15">
        <f t="shared" si="17"/>
        <v>0</v>
      </c>
      <c r="AR96" s="15">
        <f t="shared" si="17"/>
        <v>0</v>
      </c>
      <c r="AS96" s="15">
        <f t="shared" si="17"/>
        <v>0</v>
      </c>
      <c r="AT96" s="15">
        <f t="shared" si="17"/>
        <v>0</v>
      </c>
      <c r="AU96" s="15">
        <f t="shared" si="17"/>
        <v>0</v>
      </c>
      <c r="AV96" s="15">
        <f t="shared" si="17"/>
        <v>0</v>
      </c>
      <c r="AW96" s="15">
        <f t="shared" si="17"/>
        <v>0</v>
      </c>
    </row>
  </sheetData>
  <conditionalFormatting sqref="B79:AW96">
    <cfRule type="cellIs" dxfId="4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6" sqref="C26"/>
    </sheetView>
  </sheetViews>
  <sheetFormatPr defaultColWidth="5.125" defaultRowHeight="15" x14ac:dyDescent="0.25"/>
  <cols>
    <col min="1" max="1" width="66.375" style="2" bestFit="1" customWidth="1"/>
    <col min="2" max="4" width="11.25" style="2" bestFit="1" customWidth="1"/>
    <col min="5" max="5" width="11.25" style="2" customWidth="1"/>
    <col min="6" max="29" width="11.25" style="2" bestFit="1" customWidth="1"/>
    <col min="30" max="41" width="11.625" style="2" bestFit="1" customWidth="1"/>
    <col min="42" max="43" width="12.375" style="2" bestFit="1" customWidth="1"/>
    <col min="44" max="16384" width="5.125" style="2"/>
  </cols>
  <sheetData>
    <row r="1" spans="1:43" x14ac:dyDescent="0.25"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 s="3" t="s">
        <v>118</v>
      </c>
      <c r="B2" s="6">
        <v>1020925</v>
      </c>
      <c r="C2" s="6">
        <v>1187701</v>
      </c>
      <c r="D2" s="6">
        <v>1176407</v>
      </c>
      <c r="E2" s="6">
        <v>1293047</v>
      </c>
      <c r="F2" s="6">
        <v>1356097</v>
      </c>
      <c r="G2" s="6">
        <v>1376433</v>
      </c>
      <c r="H2" s="6">
        <v>1897475</v>
      </c>
      <c r="I2" s="6">
        <v>1744818</v>
      </c>
      <c r="J2" s="6">
        <v>1831440</v>
      </c>
      <c r="K2" s="6">
        <v>1884382</v>
      </c>
      <c r="L2" s="6">
        <v>1768706</v>
      </c>
      <c r="M2" s="6">
        <v>2161165</v>
      </c>
      <c r="N2" s="6">
        <v>2029910</v>
      </c>
      <c r="O2" s="6">
        <v>2323741</v>
      </c>
      <c r="P2" s="6">
        <v>2504870</v>
      </c>
      <c r="Q2" s="6">
        <v>2888034</v>
      </c>
      <c r="R2" s="6">
        <v>2883597</v>
      </c>
      <c r="S2" s="6">
        <v>2709540</v>
      </c>
      <c r="T2" s="6">
        <v>3021583</v>
      </c>
      <c r="U2" s="6">
        <v>3212161</v>
      </c>
      <c r="V2" s="6">
        <v>3362798</v>
      </c>
      <c r="W2" s="6">
        <v>3468701</v>
      </c>
      <c r="X2" s="6">
        <v>3306282</v>
      </c>
      <c r="Y2" s="6">
        <v>3752996</v>
      </c>
      <c r="Z2" s="6">
        <v>4043391</v>
      </c>
      <c r="AA2" s="6">
        <v>4551225</v>
      </c>
      <c r="AB2" s="6">
        <v>4484850</v>
      </c>
      <c r="AC2" s="6">
        <v>4932102</v>
      </c>
      <c r="AD2" s="6">
        <v>4840808</v>
      </c>
      <c r="AE2" s="6">
        <v>4954515</v>
      </c>
      <c r="AF2" s="6">
        <v>4916148</v>
      </c>
      <c r="AG2" s="6">
        <v>7472503</v>
      </c>
      <c r="AH2" s="6">
        <v>7160350</v>
      </c>
      <c r="AI2" s="6">
        <v>7719878</v>
      </c>
      <c r="AJ2" s="6">
        <v>7773445</v>
      </c>
      <c r="AK2" s="6">
        <v>8202720</v>
      </c>
      <c r="AL2" s="6">
        <v>7408100</v>
      </c>
      <c r="AM2" s="6">
        <v>9819158</v>
      </c>
      <c r="AN2" s="6">
        <v>7763322</v>
      </c>
      <c r="AO2" s="6">
        <v>9755610</v>
      </c>
      <c r="AP2" s="6">
        <v>8483022</v>
      </c>
      <c r="AQ2" s="6">
        <v>9737015</v>
      </c>
    </row>
    <row r="3" spans="1:43" x14ac:dyDescent="0.25">
      <c r="A3" s="5" t="s">
        <v>119</v>
      </c>
      <c r="B3" s="6">
        <v>2426913</v>
      </c>
      <c r="C3" s="6">
        <v>2765885</v>
      </c>
      <c r="D3" s="6">
        <v>2931153</v>
      </c>
      <c r="E3" s="6">
        <v>3197351</v>
      </c>
      <c r="F3" s="6">
        <v>3418804</v>
      </c>
      <c r="G3" s="6">
        <v>3570885</v>
      </c>
      <c r="H3" s="6">
        <v>4031649</v>
      </c>
      <c r="I3" s="6">
        <v>3937743</v>
      </c>
      <c r="J3" s="6">
        <v>3934542</v>
      </c>
      <c r="K3" s="6">
        <v>4082051</v>
      </c>
      <c r="L3" s="6">
        <v>4189507</v>
      </c>
      <c r="M3" s="6">
        <v>4742202</v>
      </c>
      <c r="N3" s="6">
        <v>4441050</v>
      </c>
      <c r="O3" s="6">
        <v>4784781</v>
      </c>
      <c r="P3" s="6">
        <v>4972939</v>
      </c>
      <c r="Q3" s="6">
        <v>5419297</v>
      </c>
      <c r="R3" s="6">
        <v>5452225</v>
      </c>
      <c r="S3" s="6">
        <v>5437647</v>
      </c>
      <c r="T3" s="6">
        <v>6034635</v>
      </c>
      <c r="U3" s="6">
        <v>6212739</v>
      </c>
      <c r="V3" s="6">
        <v>6339908</v>
      </c>
      <c r="W3" s="6">
        <v>6593587</v>
      </c>
      <c r="X3" s="6">
        <v>6468666</v>
      </c>
      <c r="Y3" s="6">
        <v>6774049</v>
      </c>
      <c r="Z3" s="6">
        <v>7181161</v>
      </c>
      <c r="AA3" s="6">
        <v>8079518</v>
      </c>
      <c r="AB3" s="6">
        <v>8287175</v>
      </c>
      <c r="AC3" s="6">
        <v>9775550</v>
      </c>
      <c r="AD3" s="6">
        <v>11018875</v>
      </c>
      <c r="AE3" s="6">
        <v>12671355</v>
      </c>
      <c r="AF3" s="6">
        <v>13390888</v>
      </c>
      <c r="AG3" s="6">
        <v>15559459</v>
      </c>
      <c r="AH3" s="6">
        <v>14378929</v>
      </c>
      <c r="AI3" s="6">
        <v>14245165</v>
      </c>
      <c r="AJ3" s="6">
        <v>14221978</v>
      </c>
      <c r="AK3" s="6">
        <v>15148773</v>
      </c>
      <c r="AL3" s="6">
        <v>14991720</v>
      </c>
      <c r="AM3" s="6">
        <v>17989705</v>
      </c>
      <c r="AN3" s="6">
        <v>16133428</v>
      </c>
      <c r="AO3" s="6">
        <v>18877563</v>
      </c>
      <c r="AP3" s="6">
        <v>19916548</v>
      </c>
      <c r="AQ3" s="6">
        <v>23652782</v>
      </c>
    </row>
    <row r="4" spans="1:43" x14ac:dyDescent="0.25">
      <c r="A4" s="5" t="s">
        <v>120</v>
      </c>
      <c r="B4" s="6">
        <v>-1405988</v>
      </c>
      <c r="C4" s="6">
        <v>-1578184</v>
      </c>
      <c r="D4" s="6">
        <v>-1754746</v>
      </c>
      <c r="E4" s="6">
        <v>-1904304</v>
      </c>
      <c r="F4" s="6">
        <v>-2062707</v>
      </c>
      <c r="G4" s="6">
        <v>-2194452</v>
      </c>
      <c r="H4" s="6">
        <v>-2134174</v>
      </c>
      <c r="I4" s="6">
        <v>-2192925</v>
      </c>
      <c r="J4" s="6">
        <v>-2103102</v>
      </c>
      <c r="K4" s="6">
        <v>-2197669</v>
      </c>
      <c r="L4" s="6">
        <v>-2420801</v>
      </c>
      <c r="M4" s="6">
        <v>-2581037</v>
      </c>
      <c r="N4" s="6">
        <v>-2411140</v>
      </c>
      <c r="O4" s="6">
        <v>-2461040</v>
      </c>
      <c r="P4" s="6">
        <v>-2468069</v>
      </c>
      <c r="Q4" s="6">
        <v>-2531263</v>
      </c>
      <c r="R4" s="6">
        <v>-2568628</v>
      </c>
      <c r="S4" s="6">
        <v>-2728107</v>
      </c>
      <c r="T4" s="6">
        <v>-3013052</v>
      </c>
      <c r="U4" s="6">
        <v>-3000578</v>
      </c>
      <c r="V4" s="6">
        <v>-2977110</v>
      </c>
      <c r="W4" s="6">
        <v>-3124886</v>
      </c>
      <c r="X4" s="6">
        <v>-3162384</v>
      </c>
      <c r="Y4" s="6">
        <v>-3021053</v>
      </c>
      <c r="Z4" s="6">
        <v>-3137770</v>
      </c>
      <c r="AA4" s="6">
        <v>-3528293</v>
      </c>
      <c r="AB4" s="6">
        <v>-3802325</v>
      </c>
      <c r="AC4" s="6">
        <v>-4843448</v>
      </c>
      <c r="AD4" s="6">
        <v>-6178067</v>
      </c>
      <c r="AE4" s="6">
        <v>-7716840</v>
      </c>
      <c r="AF4" s="6">
        <v>-8474740</v>
      </c>
      <c r="AG4" s="6">
        <v>-8086956</v>
      </c>
      <c r="AH4" s="6">
        <v>-7218579</v>
      </c>
      <c r="AI4" s="6">
        <v>-6525287</v>
      </c>
      <c r="AJ4" s="6">
        <v>-6448533</v>
      </c>
      <c r="AK4" s="6">
        <v>-6946053</v>
      </c>
      <c r="AL4" s="6">
        <v>-7583620</v>
      </c>
      <c r="AM4" s="6">
        <v>-8170547</v>
      </c>
      <c r="AN4" s="6">
        <v>-8370106</v>
      </c>
      <c r="AO4" s="6">
        <v>-9121953</v>
      </c>
      <c r="AP4" s="6">
        <v>-11433526</v>
      </c>
      <c r="AQ4" s="6">
        <v>-13915767</v>
      </c>
    </row>
    <row r="5" spans="1:43" x14ac:dyDescent="0.25">
      <c r="A5" s="3" t="s">
        <v>121</v>
      </c>
      <c r="B5" s="6">
        <v>27316</v>
      </c>
      <c r="C5" s="6">
        <v>27341</v>
      </c>
      <c r="D5" s="6">
        <v>41546</v>
      </c>
      <c r="E5" s="6">
        <v>22021</v>
      </c>
      <c r="F5" s="6">
        <v>32265</v>
      </c>
      <c r="G5" s="6">
        <v>38104</v>
      </c>
      <c r="H5" s="6">
        <v>35111</v>
      </c>
      <c r="I5" s="6">
        <v>73271</v>
      </c>
      <c r="J5" s="6">
        <v>110879</v>
      </c>
      <c r="K5" s="6">
        <v>114577</v>
      </c>
      <c r="L5" s="6">
        <v>115441</v>
      </c>
      <c r="M5" s="6">
        <v>97277</v>
      </c>
      <c r="N5" s="6">
        <v>141848</v>
      </c>
      <c r="O5" s="6">
        <v>144173</v>
      </c>
      <c r="P5" s="6">
        <v>149117</v>
      </c>
      <c r="Q5" s="6">
        <v>160738</v>
      </c>
      <c r="R5" s="6">
        <v>158110</v>
      </c>
      <c r="S5" s="6">
        <v>212866</v>
      </c>
      <c r="T5" s="6">
        <v>328852</v>
      </c>
      <c r="U5" s="6">
        <v>320979</v>
      </c>
      <c r="V5" s="6">
        <v>313421</v>
      </c>
      <c r="W5" s="6">
        <v>543972</v>
      </c>
      <c r="X5" s="6">
        <v>328914</v>
      </c>
      <c r="Y5" s="6">
        <v>741131</v>
      </c>
      <c r="Z5" s="6">
        <v>608285</v>
      </c>
      <c r="AA5" s="6">
        <v>835243</v>
      </c>
      <c r="AB5" s="6">
        <v>693273</v>
      </c>
      <c r="AC5" s="6">
        <v>820017</v>
      </c>
      <c r="AD5" s="6">
        <v>677195</v>
      </c>
      <c r="AE5" s="6">
        <v>600864</v>
      </c>
      <c r="AF5" s="6">
        <v>317959</v>
      </c>
      <c r="AG5" s="6">
        <v>591784</v>
      </c>
      <c r="AH5" s="6">
        <v>356762</v>
      </c>
      <c r="AI5" s="6">
        <v>224569</v>
      </c>
      <c r="AJ5" s="6">
        <v>412110</v>
      </c>
      <c r="AK5" s="6">
        <v>423479</v>
      </c>
      <c r="AL5" s="6">
        <v>733290</v>
      </c>
      <c r="AM5" s="6">
        <v>1331560</v>
      </c>
      <c r="AN5" s="6">
        <v>1187168</v>
      </c>
      <c r="AO5" s="6">
        <v>874358</v>
      </c>
      <c r="AP5" s="6">
        <v>847069</v>
      </c>
      <c r="AQ5" s="6">
        <v>1503323</v>
      </c>
    </row>
    <row r="6" spans="1:43" x14ac:dyDescent="0.25">
      <c r="A6" s="5" t="s">
        <v>122</v>
      </c>
      <c r="B6" s="6">
        <v>39051</v>
      </c>
      <c r="C6" s="6">
        <v>40371</v>
      </c>
      <c r="D6" s="6">
        <v>55442</v>
      </c>
      <c r="E6" s="6">
        <v>32456</v>
      </c>
      <c r="F6" s="6">
        <v>56903</v>
      </c>
      <c r="G6" s="6">
        <v>36736</v>
      </c>
      <c r="H6" s="6">
        <v>53124</v>
      </c>
      <c r="I6" s="6">
        <v>98893</v>
      </c>
      <c r="J6" s="6">
        <v>130078</v>
      </c>
      <c r="K6" s="6">
        <v>135663</v>
      </c>
      <c r="L6" s="6">
        <v>142382</v>
      </c>
      <c r="M6" s="6">
        <v>132926</v>
      </c>
      <c r="N6" s="6">
        <v>174771</v>
      </c>
      <c r="O6" s="6">
        <v>192044</v>
      </c>
      <c r="P6" s="6">
        <v>193122</v>
      </c>
      <c r="Q6" s="6">
        <v>231492</v>
      </c>
      <c r="R6" s="6">
        <v>213642</v>
      </c>
      <c r="S6" s="6">
        <v>218143</v>
      </c>
      <c r="T6" s="6">
        <v>292532</v>
      </c>
      <c r="U6" s="6">
        <v>363957</v>
      </c>
      <c r="V6" s="6">
        <v>346529</v>
      </c>
      <c r="W6" s="6">
        <v>593670</v>
      </c>
      <c r="X6" s="6">
        <v>376740</v>
      </c>
      <c r="Y6" s="6">
        <v>810794</v>
      </c>
      <c r="Z6" s="6">
        <v>665634</v>
      </c>
      <c r="AA6" s="6">
        <v>916555</v>
      </c>
      <c r="AB6" s="6">
        <v>790195</v>
      </c>
      <c r="AC6" s="6">
        <v>936071</v>
      </c>
      <c r="AD6" s="6">
        <v>769603</v>
      </c>
      <c r="AE6" s="6">
        <v>790742</v>
      </c>
      <c r="AF6" s="6">
        <v>444169</v>
      </c>
      <c r="AG6" s="6">
        <v>825654</v>
      </c>
      <c r="AH6" s="6">
        <v>512447</v>
      </c>
      <c r="AI6" s="6">
        <v>876036</v>
      </c>
      <c r="AJ6" s="6">
        <v>946414</v>
      </c>
      <c r="AK6" s="6">
        <v>961068</v>
      </c>
      <c r="AL6" s="6">
        <v>1177239</v>
      </c>
      <c r="AM6" s="6">
        <v>1874020</v>
      </c>
      <c r="AN6" s="6">
        <v>1490967</v>
      </c>
      <c r="AO6" s="6">
        <v>1155554</v>
      </c>
      <c r="AP6" s="6">
        <v>970592</v>
      </c>
      <c r="AQ6" s="6">
        <v>1743305</v>
      </c>
    </row>
    <row r="7" spans="1:43" x14ac:dyDescent="0.25">
      <c r="A7" s="5" t="s">
        <v>123</v>
      </c>
      <c r="B7" s="6">
        <v>-11735</v>
      </c>
      <c r="C7" s="6">
        <v>-13030</v>
      </c>
      <c r="D7" s="6">
        <f>D5-D6</f>
        <v>-13896</v>
      </c>
      <c r="E7" s="6">
        <v>-10435</v>
      </c>
      <c r="F7" s="6">
        <v>-24638</v>
      </c>
      <c r="G7" s="6">
        <v>1368</v>
      </c>
      <c r="H7" s="6">
        <v>-18013</v>
      </c>
      <c r="I7" s="6">
        <v>-25622</v>
      </c>
      <c r="J7" s="6">
        <v>-19199</v>
      </c>
      <c r="K7" s="6">
        <v>-21086</v>
      </c>
      <c r="L7" s="6">
        <v>-26941</v>
      </c>
      <c r="M7" s="6">
        <v>-35649</v>
      </c>
      <c r="N7" s="6">
        <v>-32923</v>
      </c>
      <c r="O7" s="6">
        <v>-47871</v>
      </c>
      <c r="P7" s="6">
        <v>-44005</v>
      </c>
      <c r="Q7" s="6">
        <v>-70754</v>
      </c>
      <c r="R7" s="6">
        <v>-55532</v>
      </c>
      <c r="S7" s="6">
        <v>-5277</v>
      </c>
      <c r="T7" s="6">
        <v>36320</v>
      </c>
      <c r="U7" s="6">
        <v>-42978</v>
      </c>
      <c r="V7" s="6">
        <v>-33108</v>
      </c>
      <c r="W7" s="6">
        <v>-49698</v>
      </c>
      <c r="X7" s="6">
        <v>-47826</v>
      </c>
      <c r="Y7" s="6">
        <v>-69663</v>
      </c>
      <c r="Z7" s="6">
        <v>-57349</v>
      </c>
      <c r="AA7" s="6">
        <v>-81312</v>
      </c>
      <c r="AB7" s="6">
        <v>-96922</v>
      </c>
      <c r="AC7" s="6">
        <v>-116054</v>
      </c>
      <c r="AD7" s="6">
        <v>-92408</v>
      </c>
      <c r="AE7" s="6">
        <v>-189878</v>
      </c>
      <c r="AF7" s="6">
        <v>-126210</v>
      </c>
      <c r="AG7" s="6">
        <v>-233870</v>
      </c>
      <c r="AH7" s="6">
        <v>-155685</v>
      </c>
      <c r="AI7" s="6">
        <v>-651467</v>
      </c>
      <c r="AJ7" s="6">
        <v>-534304</v>
      </c>
      <c r="AK7" s="6">
        <v>-537589</v>
      </c>
      <c r="AL7" s="6">
        <v>-443949</v>
      </c>
      <c r="AM7" s="6">
        <v>-542460</v>
      </c>
      <c r="AN7" s="6">
        <v>-303799</v>
      </c>
      <c r="AO7" s="6">
        <v>-281196</v>
      </c>
      <c r="AP7" s="6">
        <v>-123523</v>
      </c>
      <c r="AQ7" s="6">
        <v>-239982</v>
      </c>
    </row>
    <row r="8" spans="1:43" x14ac:dyDescent="0.25">
      <c r="A8" s="13" t="s">
        <v>124</v>
      </c>
      <c r="B8" s="6">
        <v>46400</v>
      </c>
      <c r="C8" s="6">
        <v>55872</v>
      </c>
      <c r="D8" s="6">
        <v>44123</v>
      </c>
      <c r="E8" s="6">
        <v>62889</v>
      </c>
      <c r="F8" s="6">
        <v>34006</v>
      </c>
      <c r="G8" s="6">
        <v>56288</v>
      </c>
      <c r="H8" s="6">
        <v>32139</v>
      </c>
      <c r="I8" s="6">
        <v>7481</v>
      </c>
      <c r="J8" s="6">
        <v>22698</v>
      </c>
      <c r="K8" s="6">
        <v>55020</v>
      </c>
      <c r="L8" s="6">
        <v>51052</v>
      </c>
      <c r="M8" s="6">
        <v>169545</v>
      </c>
      <c r="N8" s="6">
        <v>94380</v>
      </c>
      <c r="O8" s="6">
        <v>80905</v>
      </c>
      <c r="P8" s="4">
        <v>-296</v>
      </c>
      <c r="Q8" s="6">
        <v>54814</v>
      </c>
      <c r="R8" s="6">
        <v>24920</v>
      </c>
      <c r="S8" s="6">
        <v>18928</v>
      </c>
      <c r="T8" s="6">
        <v>30484</v>
      </c>
      <c r="U8" s="6">
        <v>93324</v>
      </c>
      <c r="V8" s="6">
        <v>24324</v>
      </c>
      <c r="W8" s="6">
        <v>42453</v>
      </c>
      <c r="X8" s="6">
        <v>20574</v>
      </c>
      <c r="Y8" s="6">
        <v>91897</v>
      </c>
      <c r="Z8" s="6">
        <v>22999</v>
      </c>
      <c r="AA8" s="6">
        <v>80329</v>
      </c>
      <c r="AB8" s="6">
        <v>96502</v>
      </c>
      <c r="AC8" s="6">
        <v>-65593</v>
      </c>
      <c r="AD8" s="6">
        <v>-49550</v>
      </c>
      <c r="AE8" s="6">
        <v>145057</v>
      </c>
      <c r="AF8" s="6">
        <v>185863</v>
      </c>
      <c r="AG8" s="6">
        <v>283333</v>
      </c>
      <c r="AH8" s="6">
        <v>174886</v>
      </c>
      <c r="AI8" s="6">
        <v>310407</v>
      </c>
      <c r="AJ8" s="6">
        <v>123899</v>
      </c>
      <c r="AK8" s="6">
        <v>234621</v>
      </c>
      <c r="AL8" s="6">
        <v>188241</v>
      </c>
      <c r="AM8" s="6">
        <v>423977</v>
      </c>
      <c r="AN8" s="6">
        <v>343463</v>
      </c>
      <c r="AO8" s="6">
        <v>316501</v>
      </c>
      <c r="AP8" s="6">
        <v>321875</v>
      </c>
      <c r="AQ8" s="6">
        <v>402281</v>
      </c>
    </row>
    <row r="9" spans="1:43" x14ac:dyDescent="0.25">
      <c r="A9" s="13" t="s">
        <v>125</v>
      </c>
      <c r="B9" s="6">
        <v>20596</v>
      </c>
      <c r="C9" s="6">
        <v>-20596</v>
      </c>
      <c r="D9" s="6">
        <v>33356</v>
      </c>
      <c r="E9" s="6">
        <v>49147</v>
      </c>
      <c r="F9" s="6">
        <v>-1452</v>
      </c>
      <c r="G9" s="6">
        <v>5921</v>
      </c>
      <c r="H9" s="6">
        <v>3211</v>
      </c>
      <c r="I9" s="6">
        <v>-1972</v>
      </c>
      <c r="J9" s="6">
        <v>83317</v>
      </c>
      <c r="K9" s="6">
        <v>21093</v>
      </c>
      <c r="L9" s="6">
        <v>16069</v>
      </c>
      <c r="M9" s="6">
        <v>-1885</v>
      </c>
      <c r="N9" s="6">
        <v>29805</v>
      </c>
      <c r="O9" s="6">
        <v>-2674</v>
      </c>
      <c r="P9" s="6">
        <v>14105</v>
      </c>
      <c r="Q9" s="6">
        <v>39223</v>
      </c>
      <c r="R9" s="6">
        <v>63695</v>
      </c>
      <c r="S9" s="6">
        <v>-17485</v>
      </c>
      <c r="T9" s="6">
        <v>-17173</v>
      </c>
      <c r="U9" s="6">
        <v>54445</v>
      </c>
      <c r="V9" s="6">
        <v>19782</v>
      </c>
      <c r="W9" s="6">
        <v>54977</v>
      </c>
      <c r="X9" s="6">
        <v>35667</v>
      </c>
      <c r="Y9" s="6">
        <v>-9494</v>
      </c>
      <c r="Z9" s="6">
        <v>38285</v>
      </c>
      <c r="AA9" s="6">
        <v>-12837</v>
      </c>
      <c r="AB9" s="6">
        <v>-8813</v>
      </c>
      <c r="AC9" s="4">
        <v>351</v>
      </c>
      <c r="AD9" s="6">
        <v>27963</v>
      </c>
      <c r="AE9" s="6">
        <v>75910</v>
      </c>
      <c r="AF9" s="6">
        <v>29936</v>
      </c>
      <c r="AG9" s="6">
        <v>-92086</v>
      </c>
      <c r="AH9" s="6">
        <v>-78664</v>
      </c>
      <c r="AI9" s="4">
        <v>-279</v>
      </c>
      <c r="AJ9" s="6">
        <v>141710</v>
      </c>
      <c r="AK9" s="6">
        <v>6162</v>
      </c>
      <c r="AL9" s="6">
        <v>389280</v>
      </c>
      <c r="AM9" s="6">
        <v>241355</v>
      </c>
      <c r="AN9" s="6">
        <v>4397</v>
      </c>
      <c r="AO9" s="6">
        <v>4428</v>
      </c>
      <c r="AP9" s="6">
        <v>-6177</v>
      </c>
      <c r="AQ9" s="6">
        <v>-56937</v>
      </c>
    </row>
    <row r="10" spans="1:43" x14ac:dyDescent="0.25">
      <c r="A10" s="13" t="s">
        <v>126</v>
      </c>
      <c r="B10" s="6">
        <v>7885</v>
      </c>
      <c r="C10" s="6">
        <v>-95964</v>
      </c>
      <c r="D10" s="6">
        <v>5341</v>
      </c>
      <c r="E10" s="6">
        <v>233897</v>
      </c>
      <c r="F10" s="6">
        <v>43105</v>
      </c>
      <c r="G10" s="6">
        <v>115165</v>
      </c>
      <c r="H10" s="6">
        <v>344948</v>
      </c>
      <c r="I10" s="6">
        <v>-18323</v>
      </c>
      <c r="J10" s="6">
        <v>160114</v>
      </c>
      <c r="K10" s="6">
        <v>172670</v>
      </c>
      <c r="L10" s="6">
        <v>8126</v>
      </c>
      <c r="M10" s="6">
        <v>6348</v>
      </c>
      <c r="N10" s="6">
        <v>128076</v>
      </c>
      <c r="O10" s="6">
        <v>33535</v>
      </c>
      <c r="P10" s="6">
        <v>75491</v>
      </c>
      <c r="Q10" s="6">
        <v>2847</v>
      </c>
      <c r="R10" s="6">
        <v>-32218</v>
      </c>
      <c r="S10" s="6">
        <v>140737</v>
      </c>
      <c r="T10" s="6">
        <v>28065</v>
      </c>
      <c r="U10" s="6">
        <v>24922</v>
      </c>
      <c r="V10" s="6">
        <v>396401</v>
      </c>
      <c r="W10" s="6">
        <v>55665</v>
      </c>
      <c r="X10" s="6">
        <v>-11835</v>
      </c>
      <c r="Y10" s="6">
        <v>36982</v>
      </c>
      <c r="Z10" s="6">
        <v>308663</v>
      </c>
      <c r="AA10" s="6">
        <v>19346</v>
      </c>
      <c r="AB10" s="6">
        <v>-11513</v>
      </c>
      <c r="AC10" s="6">
        <v>-3876</v>
      </c>
      <c r="AD10" s="6">
        <v>24161</v>
      </c>
      <c r="AE10" s="6">
        <v>515414</v>
      </c>
      <c r="AF10" s="6">
        <v>516324</v>
      </c>
      <c r="AG10" s="6">
        <v>111106</v>
      </c>
      <c r="AH10" s="6">
        <v>65351</v>
      </c>
      <c r="AI10" s="6">
        <v>-49917</v>
      </c>
      <c r="AJ10" s="6">
        <v>-88800</v>
      </c>
      <c r="AK10" s="6">
        <v>141619</v>
      </c>
      <c r="AL10" s="6">
        <v>-16744</v>
      </c>
      <c r="AM10" s="6">
        <v>19526</v>
      </c>
      <c r="AN10" s="6">
        <v>4797</v>
      </c>
      <c r="AO10" s="6">
        <v>848331</v>
      </c>
      <c r="AP10" s="6">
        <v>48960</v>
      </c>
      <c r="AQ10" s="6">
        <v>-27969</v>
      </c>
    </row>
    <row r="11" spans="1:43" x14ac:dyDescent="0.25">
      <c r="A11" s="3" t="s">
        <v>127</v>
      </c>
      <c r="B11" s="6">
        <v>9697</v>
      </c>
      <c r="C11" s="6">
        <v>10607</v>
      </c>
      <c r="D11" s="6">
        <v>17165</v>
      </c>
      <c r="E11" s="6">
        <v>129222</v>
      </c>
      <c r="F11" s="6">
        <v>22067</v>
      </c>
      <c r="G11" s="6">
        <v>77228</v>
      </c>
      <c r="H11" s="6">
        <v>88698</v>
      </c>
      <c r="I11" s="6">
        <v>121186</v>
      </c>
      <c r="J11" s="6">
        <v>72138</v>
      </c>
      <c r="K11" s="6">
        <v>90071</v>
      </c>
      <c r="L11" s="6">
        <v>103021</v>
      </c>
      <c r="M11" s="6">
        <v>224927</v>
      </c>
      <c r="N11" s="6">
        <v>41713</v>
      </c>
      <c r="O11" s="6">
        <v>100821</v>
      </c>
      <c r="P11" s="6">
        <v>127751</v>
      </c>
      <c r="Q11" s="6">
        <v>197998</v>
      </c>
      <c r="R11" s="6">
        <v>52741</v>
      </c>
      <c r="S11" s="6">
        <v>130533</v>
      </c>
      <c r="T11" s="6">
        <v>76717</v>
      </c>
      <c r="U11" s="6">
        <v>258852</v>
      </c>
      <c r="V11" s="6">
        <v>51740</v>
      </c>
      <c r="W11" s="6">
        <v>88243</v>
      </c>
      <c r="X11" s="6">
        <v>26331</v>
      </c>
      <c r="Y11" s="6">
        <v>16323</v>
      </c>
      <c r="Z11" s="6">
        <v>98560</v>
      </c>
      <c r="AA11" s="6">
        <v>103713</v>
      </c>
      <c r="AB11" s="6">
        <v>139972</v>
      </c>
      <c r="AC11" s="6">
        <v>185845</v>
      </c>
      <c r="AD11" s="6">
        <v>131606</v>
      </c>
      <c r="AE11" s="6">
        <v>121631</v>
      </c>
      <c r="AF11" s="6">
        <v>114897</v>
      </c>
      <c r="AG11" s="6">
        <v>-108981</v>
      </c>
      <c r="AH11" s="6">
        <v>73380</v>
      </c>
      <c r="AI11" s="6">
        <v>88358</v>
      </c>
      <c r="AJ11" s="6">
        <v>150584</v>
      </c>
      <c r="AK11" s="6">
        <v>393549</v>
      </c>
      <c r="AL11" s="6">
        <v>478817</v>
      </c>
      <c r="AM11" s="6">
        <v>-272338</v>
      </c>
      <c r="AN11" s="6">
        <v>158221</v>
      </c>
      <c r="AO11" s="6">
        <v>371917</v>
      </c>
      <c r="AP11" s="6">
        <v>168690</v>
      </c>
      <c r="AQ11" s="6">
        <v>79081</v>
      </c>
    </row>
    <row r="12" spans="1:43" x14ac:dyDescent="0.25">
      <c r="A12" s="5" t="s">
        <v>128</v>
      </c>
      <c r="B12" s="6">
        <v>40102</v>
      </c>
      <c r="C12" s="6">
        <v>-6102</v>
      </c>
      <c r="D12" s="6">
        <v>25035</v>
      </c>
      <c r="E12" s="6">
        <v>136084</v>
      </c>
      <c r="F12" s="6">
        <v>27145</v>
      </c>
      <c r="G12" s="6">
        <v>88299</v>
      </c>
      <c r="H12" s="6">
        <v>94656</v>
      </c>
      <c r="I12" s="6">
        <v>147223</v>
      </c>
      <c r="J12" s="6">
        <v>87853</v>
      </c>
      <c r="K12" s="6">
        <v>95610</v>
      </c>
      <c r="L12" s="6">
        <v>133582</v>
      </c>
      <c r="M12" s="6">
        <v>229745</v>
      </c>
      <c r="N12" s="6">
        <v>51686</v>
      </c>
      <c r="O12" s="6">
        <v>137438</v>
      </c>
      <c r="P12" s="6">
        <v>118900</v>
      </c>
      <c r="Q12" s="6">
        <v>196880</v>
      </c>
      <c r="R12" s="6">
        <v>59010</v>
      </c>
      <c r="S12" s="6">
        <v>143637</v>
      </c>
      <c r="T12" s="6">
        <v>124512</v>
      </c>
      <c r="U12" s="6">
        <v>302934</v>
      </c>
      <c r="V12" s="6">
        <v>80131</v>
      </c>
      <c r="W12" s="6">
        <v>121968</v>
      </c>
      <c r="X12" s="6">
        <v>85251</v>
      </c>
      <c r="Y12" s="6">
        <v>208925</v>
      </c>
      <c r="Z12" s="6">
        <v>119619</v>
      </c>
      <c r="AA12" s="6">
        <v>144321</v>
      </c>
      <c r="AB12" s="6">
        <v>160239</v>
      </c>
      <c r="AC12" s="6">
        <v>163947</v>
      </c>
      <c r="AD12" s="6">
        <v>143711</v>
      </c>
      <c r="AE12" s="6">
        <v>129369</v>
      </c>
      <c r="AF12" s="6">
        <v>118848</v>
      </c>
      <c r="AG12" s="6">
        <v>149716</v>
      </c>
      <c r="AH12" s="6">
        <v>107688</v>
      </c>
      <c r="AI12" s="6">
        <v>140389</v>
      </c>
      <c r="AJ12" s="6">
        <v>163363</v>
      </c>
      <c r="AK12" s="6">
        <v>458422</v>
      </c>
      <c r="AL12" s="6">
        <v>560161</v>
      </c>
      <c r="AM12" s="6">
        <v>-211628</v>
      </c>
      <c r="AN12" s="6">
        <v>230738</v>
      </c>
      <c r="AO12" s="6">
        <v>446885</v>
      </c>
      <c r="AP12" s="6">
        <v>184847</v>
      </c>
      <c r="AQ12" s="6">
        <v>184472</v>
      </c>
    </row>
    <row r="13" spans="1:43" x14ac:dyDescent="0.25">
      <c r="A13" s="5" t="s">
        <v>129</v>
      </c>
      <c r="B13" s="6">
        <v>-30405</v>
      </c>
      <c r="C13" s="6">
        <v>16709</v>
      </c>
      <c r="D13" s="6">
        <v>-7870</v>
      </c>
      <c r="E13" s="6">
        <v>-6862</v>
      </c>
      <c r="F13" s="6">
        <v>-5078</v>
      </c>
      <c r="G13" s="6">
        <v>-11071</v>
      </c>
      <c r="H13" s="6">
        <v>-5958</v>
      </c>
      <c r="I13" s="6">
        <v>-26037</v>
      </c>
      <c r="J13" s="6">
        <v>-15715</v>
      </c>
      <c r="K13" s="6">
        <v>-5539</v>
      </c>
      <c r="L13" s="6">
        <v>-30561</v>
      </c>
      <c r="M13" s="6">
        <v>-4818</v>
      </c>
      <c r="N13" s="6">
        <v>-9973</v>
      </c>
      <c r="O13" s="6">
        <v>-36617</v>
      </c>
      <c r="P13" s="6">
        <v>8851</v>
      </c>
      <c r="Q13" s="6">
        <v>1118</v>
      </c>
      <c r="R13" s="6">
        <v>-6269</v>
      </c>
      <c r="S13" s="6">
        <v>-13104</v>
      </c>
      <c r="T13" s="6">
        <v>-47795</v>
      </c>
      <c r="U13" s="6">
        <v>-44082</v>
      </c>
      <c r="V13" s="6">
        <v>-28391</v>
      </c>
      <c r="W13" s="6">
        <v>-33725</v>
      </c>
      <c r="X13" s="6">
        <v>-58920</v>
      </c>
      <c r="Y13" s="6">
        <v>-192602</v>
      </c>
      <c r="Z13" s="6">
        <v>-21059</v>
      </c>
      <c r="AA13" s="6">
        <v>-40608</v>
      </c>
      <c r="AB13" s="6">
        <v>-20267</v>
      </c>
      <c r="AC13" s="6">
        <v>21898</v>
      </c>
      <c r="AD13" s="6">
        <v>-12105</v>
      </c>
      <c r="AE13" s="6">
        <v>-7738</v>
      </c>
      <c r="AF13" s="6">
        <v>-3951</v>
      </c>
      <c r="AG13" s="6">
        <v>-258697</v>
      </c>
      <c r="AH13" s="6">
        <v>-34308</v>
      </c>
      <c r="AI13" s="6">
        <v>-52031</v>
      </c>
      <c r="AJ13" s="6">
        <v>-12779</v>
      </c>
      <c r="AK13" s="6">
        <v>-64873</v>
      </c>
      <c r="AL13" s="6">
        <v>-81344</v>
      </c>
      <c r="AM13" s="6">
        <v>-60710</v>
      </c>
      <c r="AN13" s="6">
        <v>-72517</v>
      </c>
      <c r="AO13" s="6">
        <v>-74968</v>
      </c>
      <c r="AP13" s="6">
        <v>-16157</v>
      </c>
      <c r="AQ13" s="6">
        <v>-105391</v>
      </c>
    </row>
    <row r="14" spans="1:43" x14ac:dyDescent="0.25">
      <c r="A14" s="13" t="s">
        <v>130</v>
      </c>
      <c r="B14" s="4">
        <v>454</v>
      </c>
      <c r="C14" s="6">
        <v>3021</v>
      </c>
      <c r="D14" s="6">
        <v>8810</v>
      </c>
      <c r="E14" s="6">
        <v>0</v>
      </c>
      <c r="F14" s="4">
        <v>495</v>
      </c>
      <c r="G14" s="6">
        <v>43099</v>
      </c>
      <c r="H14" s="4">
        <v>37</v>
      </c>
      <c r="I14" s="4">
        <v>250</v>
      </c>
      <c r="J14" s="6">
        <v>22431</v>
      </c>
      <c r="K14" s="6">
        <v>26111</v>
      </c>
      <c r="L14" s="6">
        <v>53618</v>
      </c>
      <c r="M14" s="4">
        <v>0</v>
      </c>
      <c r="N14" s="4">
        <v>0</v>
      </c>
      <c r="O14" s="6">
        <v>27069</v>
      </c>
      <c r="P14" s="4">
        <v>0</v>
      </c>
      <c r="Q14" s="4">
        <v>0</v>
      </c>
      <c r="R14" s="4">
        <v>0</v>
      </c>
      <c r="S14" s="4">
        <v>260</v>
      </c>
      <c r="T14" s="4">
        <v>0</v>
      </c>
      <c r="U14" s="4">
        <v>0</v>
      </c>
      <c r="V14" s="4">
        <v>0</v>
      </c>
      <c r="W14" s="4"/>
      <c r="X14" s="4">
        <v>0</v>
      </c>
      <c r="Y14" s="4"/>
      <c r="Z14" s="6">
        <v>2252</v>
      </c>
      <c r="AA14" s="6">
        <v>4533</v>
      </c>
      <c r="AB14" s="4"/>
      <c r="AC14" s="4">
        <v>0</v>
      </c>
      <c r="AD14" s="6">
        <v>5224</v>
      </c>
      <c r="AE14" s="4"/>
      <c r="AF14" s="6">
        <v>4101</v>
      </c>
      <c r="AG14" s="4"/>
      <c r="AH14" s="4"/>
      <c r="AI14" s="4"/>
      <c r="AJ14" s="6">
        <v>22024</v>
      </c>
      <c r="AK14" s="6">
        <v>45980</v>
      </c>
      <c r="AL14" s="6">
        <v>23569</v>
      </c>
      <c r="AM14" s="6">
        <v>72649</v>
      </c>
      <c r="AN14" s="6">
        <v>55114</v>
      </c>
      <c r="AO14" s="6">
        <v>159141</v>
      </c>
      <c r="AP14" s="6">
        <v>89403</v>
      </c>
      <c r="AQ14" s="6">
        <v>1078676</v>
      </c>
    </row>
    <row r="15" spans="1:43" x14ac:dyDescent="0.25">
      <c r="A15" s="13" t="s">
        <v>131</v>
      </c>
      <c r="B15" s="6">
        <v>-700006</v>
      </c>
      <c r="C15" s="6">
        <v>-769132</v>
      </c>
      <c r="D15" s="6">
        <v>-831101</v>
      </c>
      <c r="E15" s="6">
        <v>-976749</v>
      </c>
      <c r="F15" s="6">
        <v>-893980</v>
      </c>
      <c r="G15" s="6">
        <v>-990126</v>
      </c>
      <c r="H15" s="6">
        <v>-1051473</v>
      </c>
      <c r="I15" s="6">
        <v>-1158046</v>
      </c>
      <c r="J15" s="6">
        <v>-1009080</v>
      </c>
      <c r="K15" s="6">
        <v>-1099993</v>
      </c>
      <c r="L15" s="6">
        <v>-1148111</v>
      </c>
      <c r="M15" s="6">
        <v>-1184272</v>
      </c>
      <c r="N15" s="6">
        <v>-1137368</v>
      </c>
      <c r="O15" s="6">
        <v>-1292905</v>
      </c>
      <c r="P15" s="6">
        <v>-1284028</v>
      </c>
      <c r="Q15" s="6">
        <v>-1366195</v>
      </c>
      <c r="R15" s="6">
        <v>-1607759</v>
      </c>
      <c r="S15" s="6">
        <v>-1130488</v>
      </c>
      <c r="T15" s="6">
        <v>-1562467</v>
      </c>
      <c r="U15" s="6">
        <v>-1872114</v>
      </c>
      <c r="V15" s="6">
        <v>-1631572</v>
      </c>
      <c r="W15" s="6">
        <v>-1682984</v>
      </c>
      <c r="X15" s="6">
        <v>-1411602</v>
      </c>
      <c r="Y15" s="6">
        <v>-1656610</v>
      </c>
      <c r="Z15" s="6">
        <v>-1925612</v>
      </c>
      <c r="AA15" s="6">
        <v>-2033070</v>
      </c>
      <c r="AB15" s="6">
        <v>-2000925</v>
      </c>
      <c r="AC15" s="6">
        <v>-2671102</v>
      </c>
      <c r="AD15" s="6">
        <v>-1958618</v>
      </c>
      <c r="AE15" s="6">
        <v>-2238587</v>
      </c>
      <c r="AF15" s="6">
        <v>-2301873</v>
      </c>
      <c r="AG15" s="6">
        <v>-2630124</v>
      </c>
      <c r="AH15" s="6">
        <v>-2454639</v>
      </c>
      <c r="AI15" s="6">
        <v>-3029780</v>
      </c>
      <c r="AJ15" s="6">
        <v>-2951077</v>
      </c>
      <c r="AK15" s="6">
        <v>-3540462</v>
      </c>
      <c r="AL15" s="6">
        <v>-2524523</v>
      </c>
      <c r="AM15" s="6">
        <v>-2782029</v>
      </c>
      <c r="AN15" s="6">
        <v>-2487980</v>
      </c>
      <c r="AO15" s="6">
        <v>-3819923</v>
      </c>
      <c r="AP15" s="6">
        <v>-2587015</v>
      </c>
      <c r="AQ15" s="6">
        <v>-3065627</v>
      </c>
    </row>
    <row r="16" spans="1:43" x14ac:dyDescent="0.25">
      <c r="A16" s="13" t="s">
        <v>132</v>
      </c>
      <c r="B16" s="6">
        <v>433267</v>
      </c>
      <c r="C16" s="6">
        <v>398850</v>
      </c>
      <c r="D16" s="6">
        <v>495647</v>
      </c>
      <c r="E16" s="6">
        <v>813474</v>
      </c>
      <c r="F16" s="6">
        <v>592603</v>
      </c>
      <c r="G16" s="6">
        <v>722112</v>
      </c>
      <c r="H16" s="6">
        <v>1350146</v>
      </c>
      <c r="I16" s="6">
        <v>768665</v>
      </c>
      <c r="J16" s="6">
        <v>1293937</v>
      </c>
      <c r="K16" s="6">
        <v>1263931</v>
      </c>
      <c r="L16" s="6">
        <v>967922</v>
      </c>
      <c r="M16" s="6">
        <v>1473105</v>
      </c>
      <c r="N16" s="6">
        <v>1328364</v>
      </c>
      <c r="O16" s="6">
        <v>1414665</v>
      </c>
      <c r="P16" s="6">
        <v>1587010</v>
      </c>
      <c r="Q16" s="6">
        <v>1977459</v>
      </c>
      <c r="R16" s="6">
        <v>1543086</v>
      </c>
      <c r="S16" s="6">
        <v>2064891</v>
      </c>
      <c r="T16" s="6">
        <v>1906061</v>
      </c>
      <c r="U16" s="6">
        <v>2092569</v>
      </c>
      <c r="V16" s="6">
        <v>2536894</v>
      </c>
      <c r="W16" s="6">
        <v>2571027</v>
      </c>
      <c r="X16" s="6">
        <v>2294331</v>
      </c>
      <c r="Y16" s="6">
        <v>2973225</v>
      </c>
      <c r="Z16" s="6">
        <v>3196823</v>
      </c>
      <c r="AA16" s="6">
        <v>3548482</v>
      </c>
      <c r="AB16" s="6">
        <v>3393346</v>
      </c>
      <c r="AC16" s="6">
        <v>3197744</v>
      </c>
      <c r="AD16" s="6">
        <v>3698789</v>
      </c>
      <c r="AE16" s="6">
        <v>4174804</v>
      </c>
      <c r="AF16" s="6">
        <v>3783355</v>
      </c>
      <c r="AG16" s="6">
        <v>5627535</v>
      </c>
      <c r="AH16" s="6">
        <v>5297426</v>
      </c>
      <c r="AI16" s="6">
        <v>5263236</v>
      </c>
      <c r="AJ16" s="6">
        <v>5583895</v>
      </c>
      <c r="AK16" s="6">
        <v>5907668</v>
      </c>
      <c r="AL16" s="6">
        <v>6680030</v>
      </c>
      <c r="AM16" s="6">
        <v>8853858</v>
      </c>
      <c r="AN16" s="6">
        <v>7028502</v>
      </c>
      <c r="AO16" s="6">
        <v>8510363</v>
      </c>
      <c r="AP16" s="6">
        <v>7365827</v>
      </c>
      <c r="AQ16" s="6">
        <v>9649843</v>
      </c>
    </row>
    <row r="17" spans="1:43" x14ac:dyDescent="0.25">
      <c r="A17" s="13" t="s">
        <v>133</v>
      </c>
      <c r="B17" s="6">
        <v>-143543</v>
      </c>
      <c r="C17" s="6">
        <v>-286389</v>
      </c>
      <c r="D17" s="6">
        <v>-353320</v>
      </c>
      <c r="E17" s="6">
        <v>-210353</v>
      </c>
      <c r="F17" s="6">
        <v>-205256</v>
      </c>
      <c r="G17" s="6">
        <v>-228391</v>
      </c>
      <c r="H17" s="6">
        <v>-318953</v>
      </c>
      <c r="I17" s="6">
        <v>-264160</v>
      </c>
      <c r="J17" s="6">
        <v>-247179</v>
      </c>
      <c r="K17" s="6">
        <v>-248139</v>
      </c>
      <c r="L17" s="6">
        <v>-146552</v>
      </c>
      <c r="M17" s="6">
        <v>-352401</v>
      </c>
      <c r="N17" s="6">
        <v>-226644</v>
      </c>
      <c r="O17" s="6">
        <v>-305733</v>
      </c>
      <c r="P17" s="6">
        <v>-349486</v>
      </c>
      <c r="Q17" s="6">
        <v>-407220</v>
      </c>
      <c r="R17" s="6">
        <v>-292438</v>
      </c>
      <c r="S17" s="6">
        <v>-407959</v>
      </c>
      <c r="T17" s="6">
        <v>-432226</v>
      </c>
      <c r="U17" s="6">
        <v>-655763</v>
      </c>
      <c r="V17" s="6">
        <v>-436712</v>
      </c>
      <c r="W17" s="6">
        <v>-477774</v>
      </c>
      <c r="X17" s="6">
        <v>-403307</v>
      </c>
      <c r="Y17" s="6">
        <v>-988067</v>
      </c>
      <c r="Z17" s="6">
        <v>-669308</v>
      </c>
      <c r="AA17" s="6">
        <v>-772314</v>
      </c>
      <c r="AB17" s="6">
        <v>-680925</v>
      </c>
      <c r="AC17" s="6">
        <v>-945792</v>
      </c>
      <c r="AD17" s="6">
        <v>-956090</v>
      </c>
      <c r="AE17" s="6">
        <v>-1433167</v>
      </c>
      <c r="AF17" s="6">
        <v>-636089</v>
      </c>
      <c r="AG17" s="6">
        <v>-1242405</v>
      </c>
      <c r="AH17" s="6">
        <v>-1269851</v>
      </c>
      <c r="AI17" s="6">
        <v>-1126231</v>
      </c>
      <c r="AJ17" s="6">
        <v>-1093488</v>
      </c>
      <c r="AK17" s="6">
        <v>-1831864</v>
      </c>
      <c r="AL17" s="6">
        <v>-1324795</v>
      </c>
      <c r="AM17" s="6">
        <v>-4141072</v>
      </c>
      <c r="AN17" s="6">
        <v>-2294002</v>
      </c>
      <c r="AO17" s="6">
        <v>-1991086</v>
      </c>
      <c r="AP17" s="6">
        <v>-1258493</v>
      </c>
      <c r="AQ17" s="6">
        <v>-2569520</v>
      </c>
    </row>
    <row r="18" spans="1:43" x14ac:dyDescent="0.25">
      <c r="A18" s="13" t="s">
        <v>134</v>
      </c>
      <c r="B18" s="6">
        <v>289724</v>
      </c>
      <c r="C18" s="6">
        <v>112461</v>
      </c>
      <c r="D18" s="6">
        <v>142327</v>
      </c>
      <c r="E18" s="6">
        <v>603121</v>
      </c>
      <c r="F18" s="6">
        <v>387347</v>
      </c>
      <c r="G18" s="6">
        <v>493721</v>
      </c>
      <c r="H18" s="6">
        <v>1031193</v>
      </c>
      <c r="I18" s="6">
        <v>504505</v>
      </c>
      <c r="J18" s="6">
        <v>1046758</v>
      </c>
      <c r="K18" s="6">
        <v>1015792</v>
      </c>
      <c r="L18" s="6">
        <v>821370</v>
      </c>
      <c r="M18" s="6">
        <v>1120704</v>
      </c>
      <c r="N18" s="6">
        <v>1101720</v>
      </c>
      <c r="O18" s="6">
        <v>1108932</v>
      </c>
      <c r="P18" s="6">
        <v>1237524</v>
      </c>
      <c r="Q18" s="6">
        <v>1570239</v>
      </c>
      <c r="R18" s="6">
        <v>1250648</v>
      </c>
      <c r="S18" s="6">
        <v>1656932</v>
      </c>
      <c r="T18" s="6">
        <v>1473835</v>
      </c>
      <c r="U18" s="6">
        <v>1436806</v>
      </c>
      <c r="V18" s="6">
        <v>2100182</v>
      </c>
      <c r="W18" s="6">
        <v>2093253</v>
      </c>
      <c r="X18" s="6">
        <v>1891024</v>
      </c>
      <c r="Y18" s="6">
        <v>1985158</v>
      </c>
      <c r="Z18" s="6">
        <v>2527515</v>
      </c>
      <c r="AA18" s="6">
        <v>2776168</v>
      </c>
      <c r="AB18" s="6">
        <v>2712421</v>
      </c>
      <c r="AC18" s="6">
        <v>2251952</v>
      </c>
      <c r="AD18" s="6">
        <v>2742699</v>
      </c>
      <c r="AE18" s="6">
        <v>2741637</v>
      </c>
      <c r="AF18" s="6">
        <v>3147266</v>
      </c>
      <c r="AG18" s="6">
        <v>4385130</v>
      </c>
      <c r="AH18" s="6">
        <v>4027575</v>
      </c>
      <c r="AI18" s="6">
        <v>4137005</v>
      </c>
      <c r="AJ18" s="6">
        <v>4490407</v>
      </c>
      <c r="AK18" s="6">
        <v>4075804</v>
      </c>
      <c r="AL18" s="6">
        <v>5355235</v>
      </c>
      <c r="AM18" s="6">
        <v>4712786</v>
      </c>
      <c r="AN18" s="6">
        <v>4734500</v>
      </c>
      <c r="AO18" s="6">
        <v>6519277</v>
      </c>
      <c r="AP18" s="6">
        <v>6107334</v>
      </c>
      <c r="AQ18" s="6">
        <v>7080323</v>
      </c>
    </row>
    <row r="19" spans="1:43" x14ac:dyDescent="0.25">
      <c r="A19" s="3" t="s">
        <v>135</v>
      </c>
      <c r="B19" s="6">
        <v>-59065</v>
      </c>
      <c r="C19" s="6">
        <v>-22822</v>
      </c>
      <c r="D19" s="6">
        <v>-26981</v>
      </c>
      <c r="E19" s="6">
        <v>-124267</v>
      </c>
      <c r="F19" s="6">
        <v>-77751</v>
      </c>
      <c r="G19" s="6">
        <v>-90297</v>
      </c>
      <c r="H19" s="6">
        <v>-206660</v>
      </c>
      <c r="I19" s="6">
        <v>-87665</v>
      </c>
      <c r="J19" s="6">
        <v>-212844</v>
      </c>
      <c r="K19" s="6">
        <v>-195895</v>
      </c>
      <c r="L19" s="6">
        <v>-165739</v>
      </c>
      <c r="M19" s="6">
        <v>-228639</v>
      </c>
      <c r="N19" s="6">
        <v>-222994</v>
      </c>
      <c r="O19" s="6">
        <v>-212703</v>
      </c>
      <c r="P19" s="6">
        <v>-248484</v>
      </c>
      <c r="Q19" s="6">
        <v>-313898</v>
      </c>
      <c r="R19" s="6">
        <v>-249343</v>
      </c>
      <c r="S19" s="6">
        <v>-336535</v>
      </c>
      <c r="T19" s="6">
        <v>-295149</v>
      </c>
      <c r="U19" s="6">
        <v>-290321</v>
      </c>
      <c r="V19" s="6">
        <v>-420067</v>
      </c>
      <c r="W19" s="6">
        <v>-421778</v>
      </c>
      <c r="X19" s="6">
        <v>-377985</v>
      </c>
      <c r="Y19" s="6">
        <v>-396288</v>
      </c>
      <c r="Z19" s="6">
        <v>-507076</v>
      </c>
      <c r="AA19" s="6">
        <v>-556075</v>
      </c>
      <c r="AB19" s="6">
        <v>-542934</v>
      </c>
      <c r="AC19" s="6">
        <v>-452501</v>
      </c>
      <c r="AD19" s="6">
        <v>-548987</v>
      </c>
      <c r="AE19" s="6">
        <v>-562109</v>
      </c>
      <c r="AF19" s="6">
        <v>-632108</v>
      </c>
      <c r="AG19" s="6">
        <v>-937515</v>
      </c>
      <c r="AH19" s="6">
        <v>-814403</v>
      </c>
      <c r="AI19" s="6">
        <v>-885153</v>
      </c>
      <c r="AJ19" s="6">
        <v>-944771</v>
      </c>
      <c r="AK19" s="6">
        <v>-838576</v>
      </c>
      <c r="AL19" s="6">
        <v>-997563</v>
      </c>
      <c r="AM19" s="6">
        <v>-1036727</v>
      </c>
      <c r="AN19" s="6">
        <v>-935683</v>
      </c>
      <c r="AO19" s="6">
        <v>-1299121</v>
      </c>
      <c r="AP19" s="6">
        <v>-1205194</v>
      </c>
      <c r="AQ19" s="6">
        <v>-1284739</v>
      </c>
    </row>
    <row r="20" spans="1:43" x14ac:dyDescent="0.25">
      <c r="A20" s="5" t="s">
        <v>136</v>
      </c>
      <c r="B20" s="6">
        <v>-59065</v>
      </c>
      <c r="C20" s="6">
        <v>-22822</v>
      </c>
      <c r="D20" s="6">
        <v>-26981</v>
      </c>
      <c r="E20" s="6">
        <v>-117942</v>
      </c>
      <c r="F20" s="6">
        <v>-77751</v>
      </c>
      <c r="G20" s="6">
        <v>-90297</v>
      </c>
      <c r="H20" s="6">
        <v>-206660</v>
      </c>
      <c r="I20" s="6">
        <v>-91592</v>
      </c>
      <c r="J20" s="6">
        <v>-212844</v>
      </c>
      <c r="K20" s="6">
        <v>-195895</v>
      </c>
      <c r="L20" s="6">
        <v>-165739</v>
      </c>
      <c r="M20" s="6">
        <v>-205816</v>
      </c>
      <c r="N20" s="6">
        <v>-222994</v>
      </c>
      <c r="O20" s="6">
        <v>-213437</v>
      </c>
      <c r="P20" s="6">
        <v>-248484</v>
      </c>
      <c r="Q20" s="6">
        <v>-317162</v>
      </c>
      <c r="R20" s="6">
        <v>-249343</v>
      </c>
      <c r="S20" s="6">
        <v>-337135</v>
      </c>
      <c r="T20" s="6">
        <v>-295149</v>
      </c>
      <c r="U20" s="6">
        <v>-282644</v>
      </c>
      <c r="V20" s="6">
        <v>-420067</v>
      </c>
      <c r="W20" s="6">
        <v>-421778</v>
      </c>
      <c r="X20" s="6">
        <v>-377985</v>
      </c>
      <c r="Y20" s="6">
        <v>-400350</v>
      </c>
      <c r="Z20" s="6">
        <v>-507076</v>
      </c>
      <c r="AA20" s="6">
        <v>-556075</v>
      </c>
      <c r="AB20" s="6">
        <v>-542934</v>
      </c>
      <c r="AC20" s="6">
        <v>-485901</v>
      </c>
      <c r="AD20" s="6">
        <v>-548987</v>
      </c>
      <c r="AE20" s="6">
        <v>-562109</v>
      </c>
      <c r="AF20" s="6">
        <v>-632108</v>
      </c>
      <c r="AG20" s="6">
        <v>-981425</v>
      </c>
      <c r="AH20" s="6">
        <v>-808137</v>
      </c>
      <c r="AI20" s="6">
        <v>-879466</v>
      </c>
      <c r="AJ20" s="6">
        <v>-957868</v>
      </c>
      <c r="AK20" s="6">
        <v>-833194</v>
      </c>
      <c r="AL20" s="6">
        <v>-946338</v>
      </c>
      <c r="AM20" s="6">
        <v>-1015345</v>
      </c>
      <c r="AN20" s="6">
        <v>-912792</v>
      </c>
      <c r="AO20" s="6">
        <v>-1311429</v>
      </c>
      <c r="AP20" s="6">
        <v>-1232001</v>
      </c>
      <c r="AQ20" s="6">
        <v>-1276326</v>
      </c>
    </row>
    <row r="21" spans="1:43" x14ac:dyDescent="0.25">
      <c r="A21" s="5" t="s">
        <v>137</v>
      </c>
      <c r="B21" s="4">
        <v>0</v>
      </c>
      <c r="C21" s="4">
        <v>0</v>
      </c>
      <c r="D21" s="4">
        <v>0</v>
      </c>
      <c r="E21" s="6">
        <v>-6325</v>
      </c>
      <c r="F21" s="4">
        <v>0</v>
      </c>
      <c r="G21" s="4">
        <v>0</v>
      </c>
      <c r="H21" s="4">
        <v>0</v>
      </c>
      <c r="I21" s="6">
        <v>3927</v>
      </c>
      <c r="J21" s="4">
        <v>0</v>
      </c>
      <c r="K21" s="4">
        <v>0</v>
      </c>
      <c r="L21" s="4">
        <v>0</v>
      </c>
      <c r="M21" s="6">
        <v>-22823</v>
      </c>
      <c r="N21" s="4">
        <v>0</v>
      </c>
      <c r="O21" s="4">
        <v>734</v>
      </c>
      <c r="P21" s="4">
        <v>0</v>
      </c>
      <c r="Q21" s="6">
        <v>3264</v>
      </c>
      <c r="R21" s="4">
        <v>0</v>
      </c>
      <c r="S21" s="4">
        <v>600</v>
      </c>
      <c r="T21" s="4">
        <v>0</v>
      </c>
      <c r="U21" s="6">
        <v>-7677</v>
      </c>
      <c r="V21" s="4">
        <v>0</v>
      </c>
      <c r="W21" s="4"/>
      <c r="X21" s="4"/>
      <c r="Y21" s="6">
        <v>4062</v>
      </c>
      <c r="Z21" s="4"/>
      <c r="AA21" s="4"/>
      <c r="AB21" s="4"/>
      <c r="AC21" s="6">
        <v>33400</v>
      </c>
      <c r="AD21" s="4"/>
      <c r="AE21" s="4"/>
      <c r="AF21" s="4">
        <v>0</v>
      </c>
      <c r="AG21" s="6">
        <v>43910</v>
      </c>
      <c r="AH21" s="6">
        <v>-6266</v>
      </c>
      <c r="AI21" s="6">
        <v>-5687</v>
      </c>
      <c r="AJ21" s="6">
        <v>13097</v>
      </c>
      <c r="AK21" s="6">
        <v>-5382</v>
      </c>
      <c r="AL21" s="6">
        <v>-51225</v>
      </c>
      <c r="AM21" s="6">
        <v>-21382</v>
      </c>
      <c r="AN21" s="6">
        <v>-22891</v>
      </c>
      <c r="AO21" s="6">
        <v>12308</v>
      </c>
      <c r="AP21" s="6">
        <v>26807</v>
      </c>
      <c r="AQ21" s="6">
        <v>-8413</v>
      </c>
    </row>
    <row r="22" spans="1:43" x14ac:dyDescent="0.25">
      <c r="A22" s="13" t="s">
        <v>138</v>
      </c>
      <c r="B22" s="6">
        <v>230659</v>
      </c>
      <c r="C22" s="6">
        <v>89639</v>
      </c>
      <c r="D22" s="6">
        <v>115346</v>
      </c>
      <c r="E22" s="6">
        <v>478854</v>
      </c>
      <c r="F22" s="6">
        <v>309596</v>
      </c>
      <c r="G22" s="6">
        <v>403424</v>
      </c>
      <c r="H22" s="6">
        <v>824533</v>
      </c>
      <c r="I22" s="6">
        <v>416840</v>
      </c>
      <c r="J22" s="6">
        <v>833914</v>
      </c>
      <c r="K22" s="6">
        <v>819897</v>
      </c>
      <c r="L22" s="6">
        <v>655631</v>
      </c>
      <c r="M22" s="6">
        <v>892065</v>
      </c>
      <c r="N22" s="6">
        <v>878726</v>
      </c>
      <c r="O22" s="6">
        <v>896229</v>
      </c>
      <c r="P22" s="6">
        <v>989040</v>
      </c>
      <c r="Q22" s="6">
        <v>1256341</v>
      </c>
      <c r="R22" s="6">
        <v>1001305</v>
      </c>
      <c r="S22" s="6">
        <v>1320397</v>
      </c>
      <c r="T22" s="6">
        <v>1178686</v>
      </c>
      <c r="U22" s="6">
        <v>1146485</v>
      </c>
      <c r="V22" s="6">
        <v>1680115</v>
      </c>
      <c r="W22" s="6">
        <v>1671475</v>
      </c>
      <c r="X22" s="6">
        <v>1513039</v>
      </c>
      <c r="Y22" s="6">
        <v>1588870</v>
      </c>
      <c r="Z22" s="6">
        <v>2020439</v>
      </c>
      <c r="AA22" s="6">
        <v>2220093</v>
      </c>
      <c r="AB22" s="6">
        <v>2169487</v>
      </c>
      <c r="AC22" s="6">
        <v>1799451</v>
      </c>
      <c r="AD22" s="6">
        <v>2193712</v>
      </c>
      <c r="AE22" s="6">
        <v>2179528</v>
      </c>
      <c r="AF22" s="6">
        <v>2515158</v>
      </c>
      <c r="AG22" s="6">
        <v>3447615</v>
      </c>
      <c r="AH22" s="6">
        <v>3213172</v>
      </c>
      <c r="AI22" s="6">
        <v>3251852</v>
      </c>
      <c r="AJ22" s="6">
        <v>3545636</v>
      </c>
      <c r="AK22" s="6">
        <v>3237228</v>
      </c>
      <c r="AL22" s="6">
        <v>4357672</v>
      </c>
      <c r="AM22" s="6">
        <v>3676059</v>
      </c>
      <c r="AN22" s="6">
        <v>3798817</v>
      </c>
      <c r="AO22" s="6">
        <v>5220156</v>
      </c>
      <c r="AP22" s="6">
        <v>4902140</v>
      </c>
      <c r="AQ22" s="6">
        <v>5795584</v>
      </c>
    </row>
    <row r="23" spans="1:43" x14ac:dyDescent="0.25">
      <c r="A23" s="13" t="s">
        <v>139</v>
      </c>
      <c r="B23" s="6">
        <v>35762</v>
      </c>
      <c r="C23" s="6">
        <v>43133</v>
      </c>
      <c r="D23" s="6">
        <v>49424</v>
      </c>
      <c r="E23" s="6">
        <v>48047</v>
      </c>
      <c r="F23" s="6">
        <v>42438</v>
      </c>
      <c r="G23" s="6">
        <v>51775</v>
      </c>
      <c r="H23" s="6">
        <v>45560</v>
      </c>
      <c r="I23" s="6">
        <v>68147</v>
      </c>
      <c r="J23" s="6">
        <v>76654</v>
      </c>
      <c r="K23" s="6">
        <v>81869</v>
      </c>
      <c r="L23" s="6">
        <v>88496</v>
      </c>
      <c r="M23" s="6">
        <v>112408</v>
      </c>
      <c r="N23" s="6">
        <v>79904</v>
      </c>
      <c r="O23" s="6">
        <v>110003</v>
      </c>
      <c r="P23" s="6">
        <v>90358</v>
      </c>
      <c r="Q23" s="6">
        <v>135303</v>
      </c>
      <c r="R23" s="6">
        <v>112676</v>
      </c>
      <c r="S23" s="6">
        <v>109847</v>
      </c>
      <c r="T23" s="6">
        <v>87376</v>
      </c>
      <c r="U23" s="6">
        <v>88249</v>
      </c>
      <c r="V23" s="6">
        <v>116727</v>
      </c>
      <c r="W23" s="6">
        <v>119596</v>
      </c>
      <c r="X23" s="6">
        <v>81974</v>
      </c>
      <c r="Y23" s="6">
        <v>81683</v>
      </c>
      <c r="Z23" s="6">
        <v>102040</v>
      </c>
      <c r="AA23" s="6">
        <v>140966</v>
      </c>
      <c r="AB23" s="6">
        <v>153502</v>
      </c>
      <c r="AC23" s="6">
        <v>63167</v>
      </c>
      <c r="AD23" s="6">
        <v>105702</v>
      </c>
      <c r="AE23" s="6">
        <v>20975</v>
      </c>
      <c r="AF23" s="6">
        <v>34718</v>
      </c>
      <c r="AG23" s="6">
        <v>103720</v>
      </c>
      <c r="AH23" s="6">
        <v>103400</v>
      </c>
      <c r="AI23" s="6">
        <v>136961</v>
      </c>
      <c r="AJ23" s="6">
        <v>121760</v>
      </c>
      <c r="AK23" s="6">
        <v>122574</v>
      </c>
      <c r="AL23" s="6">
        <v>122918</v>
      </c>
      <c r="AM23" s="6">
        <v>161199</v>
      </c>
      <c r="AN23" s="6">
        <v>152179</v>
      </c>
      <c r="AO23" s="6">
        <v>112938</v>
      </c>
      <c r="AP23" s="6">
        <v>135498</v>
      </c>
      <c r="AQ23" s="6">
        <v>240208</v>
      </c>
    </row>
    <row r="24" spans="1:43" x14ac:dyDescent="0.25">
      <c r="A24" s="13" t="s">
        <v>140</v>
      </c>
      <c r="B24" s="6">
        <v>194897</v>
      </c>
      <c r="C24" s="6">
        <v>46506</v>
      </c>
      <c r="D24" s="6">
        <v>65922</v>
      </c>
      <c r="E24" s="6">
        <v>430807</v>
      </c>
      <c r="F24" s="6">
        <v>267158</v>
      </c>
      <c r="G24" s="6">
        <v>351649</v>
      </c>
      <c r="H24" s="6">
        <v>778973</v>
      </c>
      <c r="I24" s="6">
        <v>348693</v>
      </c>
      <c r="J24" s="6">
        <v>757260</v>
      </c>
      <c r="K24" s="6">
        <v>738028</v>
      </c>
      <c r="L24" s="6">
        <v>567135</v>
      </c>
      <c r="M24" s="6">
        <v>779657</v>
      </c>
      <c r="N24" s="6">
        <v>798822</v>
      </c>
      <c r="O24" s="6">
        <v>786226</v>
      </c>
      <c r="P24" s="6">
        <v>898682</v>
      </c>
      <c r="Q24" s="6">
        <v>1121038</v>
      </c>
      <c r="R24" s="6">
        <v>888629</v>
      </c>
      <c r="S24" s="6">
        <v>1210550</v>
      </c>
      <c r="T24" s="6">
        <v>1091310</v>
      </c>
      <c r="U24" s="6">
        <v>1058236</v>
      </c>
      <c r="V24" s="6">
        <v>1563388</v>
      </c>
      <c r="W24" s="6">
        <v>1551879</v>
      </c>
      <c r="X24" s="6">
        <v>1431065</v>
      </c>
      <c r="Y24" s="6">
        <v>1507187</v>
      </c>
      <c r="Z24" s="6">
        <v>1918399</v>
      </c>
      <c r="AA24" s="6">
        <v>2079127</v>
      </c>
      <c r="AB24" s="6">
        <v>2015985</v>
      </c>
      <c r="AC24" s="6">
        <v>1736284</v>
      </c>
      <c r="AD24" s="6">
        <v>2088010</v>
      </c>
      <c r="AE24" s="6">
        <v>2158553</v>
      </c>
      <c r="AF24" s="6">
        <v>2480440</v>
      </c>
      <c r="AG24" s="6">
        <v>3343895</v>
      </c>
      <c r="AH24" s="6">
        <v>3109772</v>
      </c>
      <c r="AI24" s="6">
        <v>3114891</v>
      </c>
      <c r="AJ24" s="6">
        <v>3423876</v>
      </c>
      <c r="AK24" s="6">
        <v>3114654</v>
      </c>
      <c r="AL24" s="6">
        <v>4234754</v>
      </c>
      <c r="AM24" s="6">
        <v>3514860</v>
      </c>
      <c r="AN24" s="6">
        <v>3646638</v>
      </c>
      <c r="AO24" s="6">
        <v>5107218</v>
      </c>
      <c r="AP24" s="6">
        <v>4766642</v>
      </c>
      <c r="AQ24" s="6">
        <v>5555376</v>
      </c>
    </row>
    <row r="25" spans="1:43" x14ac:dyDescent="0.25">
      <c r="B25" s="18"/>
      <c r="E25" s="18"/>
    </row>
    <row r="26" spans="1:43" x14ac:dyDescent="0.25">
      <c r="B26" s="15">
        <f>B3+B4-B2</f>
        <v>0</v>
      </c>
      <c r="C26" s="15">
        <f t="shared" ref="C26:AQ26" si="0">C3+C4-C2</f>
        <v>0</v>
      </c>
      <c r="D26" s="15">
        <f t="shared" si="0"/>
        <v>0</v>
      </c>
      <c r="E26" s="15">
        <f t="shared" si="0"/>
        <v>0</v>
      </c>
      <c r="F26" s="15">
        <f t="shared" si="0"/>
        <v>0</v>
      </c>
      <c r="G26" s="15">
        <f t="shared" si="0"/>
        <v>0</v>
      </c>
      <c r="H26" s="15">
        <f t="shared" si="0"/>
        <v>0</v>
      </c>
      <c r="I26" s="15">
        <f t="shared" si="0"/>
        <v>0</v>
      </c>
      <c r="J26" s="15">
        <f t="shared" si="0"/>
        <v>0</v>
      </c>
      <c r="K26" s="15">
        <f t="shared" si="0"/>
        <v>0</v>
      </c>
      <c r="L26" s="15">
        <f t="shared" si="0"/>
        <v>0</v>
      </c>
      <c r="M26" s="15">
        <f t="shared" si="0"/>
        <v>0</v>
      </c>
      <c r="N26" s="15">
        <f t="shared" si="0"/>
        <v>0</v>
      </c>
      <c r="O26" s="15">
        <f t="shared" si="0"/>
        <v>0</v>
      </c>
      <c r="P26" s="15">
        <f t="shared" si="0"/>
        <v>0</v>
      </c>
      <c r="Q26" s="15">
        <f t="shared" si="0"/>
        <v>0</v>
      </c>
      <c r="R26" s="15">
        <f t="shared" si="0"/>
        <v>0</v>
      </c>
      <c r="S26" s="15">
        <f t="shared" si="0"/>
        <v>0</v>
      </c>
      <c r="T26" s="15">
        <f t="shared" si="0"/>
        <v>0</v>
      </c>
      <c r="U26" s="15">
        <f t="shared" si="0"/>
        <v>0</v>
      </c>
      <c r="V26" s="15">
        <f t="shared" si="0"/>
        <v>0</v>
      </c>
      <c r="W26" s="15">
        <f t="shared" si="0"/>
        <v>0</v>
      </c>
      <c r="X26" s="15">
        <f t="shared" si="0"/>
        <v>0</v>
      </c>
      <c r="Y26" s="15">
        <f t="shared" si="0"/>
        <v>0</v>
      </c>
      <c r="Z26" s="15">
        <f t="shared" si="0"/>
        <v>0</v>
      </c>
      <c r="AA26" s="15">
        <f t="shared" si="0"/>
        <v>0</v>
      </c>
      <c r="AB26" s="15">
        <f t="shared" si="0"/>
        <v>0</v>
      </c>
      <c r="AC26" s="15">
        <f t="shared" si="0"/>
        <v>0</v>
      </c>
      <c r="AD26" s="15">
        <f t="shared" si="0"/>
        <v>0</v>
      </c>
      <c r="AE26" s="15">
        <f t="shared" si="0"/>
        <v>0</v>
      </c>
      <c r="AF26" s="15">
        <f t="shared" si="0"/>
        <v>0</v>
      </c>
      <c r="AG26" s="15">
        <f t="shared" si="0"/>
        <v>0</v>
      </c>
      <c r="AH26" s="15">
        <f t="shared" si="0"/>
        <v>0</v>
      </c>
      <c r="AI26" s="15">
        <f t="shared" si="0"/>
        <v>0</v>
      </c>
      <c r="AJ26" s="15">
        <f t="shared" si="0"/>
        <v>0</v>
      </c>
      <c r="AK26" s="15">
        <f t="shared" si="0"/>
        <v>0</v>
      </c>
      <c r="AL26" s="15">
        <f t="shared" si="0"/>
        <v>0</v>
      </c>
      <c r="AM26" s="15">
        <f t="shared" si="0"/>
        <v>0</v>
      </c>
      <c r="AN26" s="15">
        <f t="shared" si="0"/>
        <v>0</v>
      </c>
      <c r="AO26" s="15">
        <f t="shared" si="0"/>
        <v>0</v>
      </c>
      <c r="AP26" s="15">
        <f t="shared" si="0"/>
        <v>0</v>
      </c>
      <c r="AQ26" s="15">
        <f t="shared" si="0"/>
        <v>0</v>
      </c>
    </row>
    <row r="27" spans="1:43" x14ac:dyDescent="0.25">
      <c r="B27" s="15">
        <f>B6+B7-B5</f>
        <v>0</v>
      </c>
      <c r="C27" s="15">
        <f t="shared" ref="C27:AQ27" si="1">C6+C7-C5</f>
        <v>0</v>
      </c>
      <c r="D27" s="15">
        <f t="shared" si="1"/>
        <v>0</v>
      </c>
      <c r="E27" s="15">
        <f t="shared" si="1"/>
        <v>0</v>
      </c>
      <c r="F27" s="15">
        <f t="shared" si="1"/>
        <v>0</v>
      </c>
      <c r="G27" s="15">
        <f t="shared" si="1"/>
        <v>0</v>
      </c>
      <c r="H27" s="15">
        <f t="shared" si="1"/>
        <v>0</v>
      </c>
      <c r="I27" s="15">
        <f t="shared" si="1"/>
        <v>0</v>
      </c>
      <c r="J27" s="15">
        <f t="shared" si="1"/>
        <v>0</v>
      </c>
      <c r="K27" s="15">
        <f t="shared" si="1"/>
        <v>0</v>
      </c>
      <c r="L27" s="15">
        <f t="shared" si="1"/>
        <v>0</v>
      </c>
      <c r="M27" s="15">
        <f t="shared" si="1"/>
        <v>0</v>
      </c>
      <c r="N27" s="15">
        <f t="shared" si="1"/>
        <v>0</v>
      </c>
      <c r="O27" s="15">
        <f t="shared" si="1"/>
        <v>0</v>
      </c>
      <c r="P27" s="15">
        <f t="shared" si="1"/>
        <v>0</v>
      </c>
      <c r="Q27" s="15">
        <f t="shared" si="1"/>
        <v>0</v>
      </c>
      <c r="R27" s="15">
        <f t="shared" si="1"/>
        <v>0</v>
      </c>
      <c r="S27" s="15">
        <f t="shared" si="1"/>
        <v>0</v>
      </c>
      <c r="T27" s="15">
        <f t="shared" si="1"/>
        <v>0</v>
      </c>
      <c r="U27" s="15">
        <f t="shared" si="1"/>
        <v>0</v>
      </c>
      <c r="V27" s="15">
        <f t="shared" si="1"/>
        <v>0</v>
      </c>
      <c r="W27" s="15">
        <f t="shared" si="1"/>
        <v>0</v>
      </c>
      <c r="X27" s="15">
        <f t="shared" si="1"/>
        <v>0</v>
      </c>
      <c r="Y27" s="15">
        <f t="shared" si="1"/>
        <v>0</v>
      </c>
      <c r="Z27" s="15">
        <f t="shared" si="1"/>
        <v>0</v>
      </c>
      <c r="AA27" s="15">
        <f t="shared" si="1"/>
        <v>0</v>
      </c>
      <c r="AB27" s="15">
        <f t="shared" si="1"/>
        <v>0</v>
      </c>
      <c r="AC27" s="15">
        <f t="shared" si="1"/>
        <v>0</v>
      </c>
      <c r="AD27" s="15">
        <f t="shared" si="1"/>
        <v>0</v>
      </c>
      <c r="AE27" s="15">
        <f t="shared" si="1"/>
        <v>0</v>
      </c>
      <c r="AF27" s="15">
        <f t="shared" si="1"/>
        <v>0</v>
      </c>
      <c r="AG27" s="15">
        <f t="shared" si="1"/>
        <v>0</v>
      </c>
      <c r="AH27" s="15">
        <f t="shared" si="1"/>
        <v>0</v>
      </c>
      <c r="AI27" s="15">
        <f t="shared" si="1"/>
        <v>0</v>
      </c>
      <c r="AJ27" s="15">
        <f t="shared" si="1"/>
        <v>0</v>
      </c>
      <c r="AK27" s="15">
        <f t="shared" si="1"/>
        <v>0</v>
      </c>
      <c r="AL27" s="15">
        <f t="shared" si="1"/>
        <v>0</v>
      </c>
      <c r="AM27" s="15">
        <f t="shared" si="1"/>
        <v>0</v>
      </c>
      <c r="AN27" s="15">
        <f t="shared" si="1"/>
        <v>0</v>
      </c>
      <c r="AO27" s="15">
        <f t="shared" si="1"/>
        <v>0</v>
      </c>
      <c r="AP27" s="15">
        <f t="shared" si="1"/>
        <v>0</v>
      </c>
      <c r="AQ27" s="15">
        <f t="shared" si="1"/>
        <v>0</v>
      </c>
    </row>
    <row r="28" spans="1:43" x14ac:dyDescent="0.25">
      <c r="B28" s="15">
        <f>B12+B13-B11</f>
        <v>0</v>
      </c>
      <c r="C28" s="15">
        <f t="shared" ref="C28:AQ28" si="2">C12+C13-C11</f>
        <v>0</v>
      </c>
      <c r="D28" s="15">
        <f t="shared" si="2"/>
        <v>0</v>
      </c>
      <c r="E28" s="15">
        <f t="shared" si="2"/>
        <v>0</v>
      </c>
      <c r="F28" s="15">
        <f t="shared" si="2"/>
        <v>0</v>
      </c>
      <c r="G28" s="15">
        <f t="shared" si="2"/>
        <v>0</v>
      </c>
      <c r="H28" s="15">
        <f t="shared" si="2"/>
        <v>0</v>
      </c>
      <c r="I28" s="15">
        <f t="shared" si="2"/>
        <v>0</v>
      </c>
      <c r="J28" s="15">
        <f t="shared" si="2"/>
        <v>0</v>
      </c>
      <c r="K28" s="15">
        <f t="shared" si="2"/>
        <v>0</v>
      </c>
      <c r="L28" s="15">
        <f t="shared" si="2"/>
        <v>0</v>
      </c>
      <c r="M28" s="15">
        <f t="shared" si="2"/>
        <v>0</v>
      </c>
      <c r="N28" s="15">
        <f t="shared" si="2"/>
        <v>0</v>
      </c>
      <c r="O28" s="15">
        <f t="shared" si="2"/>
        <v>0</v>
      </c>
      <c r="P28" s="15">
        <f t="shared" si="2"/>
        <v>0</v>
      </c>
      <c r="Q28" s="15">
        <f t="shared" si="2"/>
        <v>0</v>
      </c>
      <c r="R28" s="15">
        <f t="shared" si="2"/>
        <v>0</v>
      </c>
      <c r="S28" s="15">
        <f t="shared" si="2"/>
        <v>0</v>
      </c>
      <c r="T28" s="15">
        <f t="shared" si="2"/>
        <v>0</v>
      </c>
      <c r="U28" s="15">
        <f t="shared" si="2"/>
        <v>0</v>
      </c>
      <c r="V28" s="15">
        <f t="shared" si="2"/>
        <v>0</v>
      </c>
      <c r="W28" s="15">
        <f t="shared" si="2"/>
        <v>0</v>
      </c>
      <c r="X28" s="15">
        <f t="shared" si="2"/>
        <v>0</v>
      </c>
      <c r="Y28" s="15">
        <f t="shared" si="2"/>
        <v>0</v>
      </c>
      <c r="Z28" s="15">
        <f t="shared" si="2"/>
        <v>0</v>
      </c>
      <c r="AA28" s="15">
        <f t="shared" si="2"/>
        <v>0</v>
      </c>
      <c r="AB28" s="15">
        <f t="shared" si="2"/>
        <v>0</v>
      </c>
      <c r="AC28" s="15">
        <f t="shared" si="2"/>
        <v>0</v>
      </c>
      <c r="AD28" s="15">
        <f t="shared" si="2"/>
        <v>0</v>
      </c>
      <c r="AE28" s="15">
        <f t="shared" si="2"/>
        <v>0</v>
      </c>
      <c r="AF28" s="15">
        <f t="shared" si="2"/>
        <v>0</v>
      </c>
      <c r="AG28" s="15">
        <f t="shared" si="2"/>
        <v>0</v>
      </c>
      <c r="AH28" s="15">
        <f t="shared" si="2"/>
        <v>0</v>
      </c>
      <c r="AI28" s="15">
        <f t="shared" si="2"/>
        <v>0</v>
      </c>
      <c r="AJ28" s="15">
        <f t="shared" si="2"/>
        <v>0</v>
      </c>
      <c r="AK28" s="15">
        <f t="shared" si="2"/>
        <v>0</v>
      </c>
      <c r="AL28" s="15">
        <f t="shared" si="2"/>
        <v>0</v>
      </c>
      <c r="AM28" s="15">
        <f t="shared" si="2"/>
        <v>0</v>
      </c>
      <c r="AN28" s="15">
        <f t="shared" si="2"/>
        <v>0</v>
      </c>
      <c r="AO28" s="15">
        <f t="shared" si="2"/>
        <v>0</v>
      </c>
      <c r="AP28" s="15">
        <f t="shared" si="2"/>
        <v>0</v>
      </c>
      <c r="AQ28" s="15">
        <f t="shared" si="2"/>
        <v>0</v>
      </c>
    </row>
    <row r="29" spans="1:43" x14ac:dyDescent="0.25">
      <c r="B29" s="15">
        <f>B21+B20-B19</f>
        <v>0</v>
      </c>
      <c r="C29" s="15">
        <f t="shared" ref="C29:AQ29" si="3">C21+C20-C19</f>
        <v>0</v>
      </c>
      <c r="D29" s="15">
        <f t="shared" si="3"/>
        <v>0</v>
      </c>
      <c r="E29" s="15">
        <f t="shared" si="3"/>
        <v>0</v>
      </c>
      <c r="F29" s="15">
        <f t="shared" si="3"/>
        <v>0</v>
      </c>
      <c r="G29" s="15">
        <f t="shared" si="3"/>
        <v>0</v>
      </c>
      <c r="H29" s="15">
        <f t="shared" si="3"/>
        <v>0</v>
      </c>
      <c r="I29" s="15">
        <f t="shared" si="3"/>
        <v>0</v>
      </c>
      <c r="J29" s="15">
        <f t="shared" si="3"/>
        <v>0</v>
      </c>
      <c r="K29" s="15">
        <f t="shared" si="3"/>
        <v>0</v>
      </c>
      <c r="L29" s="15">
        <f t="shared" si="3"/>
        <v>0</v>
      </c>
      <c r="M29" s="15">
        <f t="shared" si="3"/>
        <v>0</v>
      </c>
      <c r="N29" s="15">
        <f t="shared" si="3"/>
        <v>0</v>
      </c>
      <c r="O29" s="15">
        <f t="shared" si="3"/>
        <v>0</v>
      </c>
      <c r="P29" s="15">
        <f t="shared" si="3"/>
        <v>0</v>
      </c>
      <c r="Q29" s="15">
        <f t="shared" si="3"/>
        <v>0</v>
      </c>
      <c r="R29" s="15">
        <f t="shared" si="3"/>
        <v>0</v>
      </c>
      <c r="S29" s="15">
        <f t="shared" si="3"/>
        <v>0</v>
      </c>
      <c r="T29" s="15">
        <f t="shared" si="3"/>
        <v>0</v>
      </c>
      <c r="U29" s="15">
        <f t="shared" si="3"/>
        <v>0</v>
      </c>
      <c r="V29" s="15">
        <f t="shared" si="3"/>
        <v>0</v>
      </c>
      <c r="W29" s="15">
        <f t="shared" si="3"/>
        <v>0</v>
      </c>
      <c r="X29" s="15">
        <f t="shared" si="3"/>
        <v>0</v>
      </c>
      <c r="Y29" s="15">
        <f t="shared" si="3"/>
        <v>0</v>
      </c>
      <c r="Z29" s="15">
        <f t="shared" si="3"/>
        <v>0</v>
      </c>
      <c r="AA29" s="15">
        <f t="shared" si="3"/>
        <v>0</v>
      </c>
      <c r="AB29" s="15">
        <f t="shared" si="3"/>
        <v>0</v>
      </c>
      <c r="AC29" s="15">
        <f t="shared" si="3"/>
        <v>0</v>
      </c>
      <c r="AD29" s="15">
        <f t="shared" si="3"/>
        <v>0</v>
      </c>
      <c r="AE29" s="15">
        <f t="shared" si="3"/>
        <v>0</v>
      </c>
      <c r="AF29" s="15">
        <f t="shared" si="3"/>
        <v>0</v>
      </c>
      <c r="AG29" s="15">
        <f t="shared" si="3"/>
        <v>0</v>
      </c>
      <c r="AH29" s="15">
        <f t="shared" si="3"/>
        <v>0</v>
      </c>
      <c r="AI29" s="15">
        <f t="shared" si="3"/>
        <v>0</v>
      </c>
      <c r="AJ29" s="15">
        <f t="shared" si="3"/>
        <v>0</v>
      </c>
      <c r="AK29" s="15">
        <f t="shared" si="3"/>
        <v>0</v>
      </c>
      <c r="AL29" s="15">
        <f t="shared" si="3"/>
        <v>0</v>
      </c>
      <c r="AM29" s="15">
        <f t="shared" si="3"/>
        <v>0</v>
      </c>
      <c r="AN29" s="15">
        <f t="shared" si="3"/>
        <v>0</v>
      </c>
      <c r="AO29" s="15">
        <f t="shared" si="3"/>
        <v>0</v>
      </c>
      <c r="AP29" s="15">
        <f t="shared" si="3"/>
        <v>0</v>
      </c>
      <c r="AQ29" s="15">
        <f t="shared" si="3"/>
        <v>0</v>
      </c>
    </row>
    <row r="30" spans="1:43" x14ac:dyDescent="0.25">
      <c r="B30" s="18">
        <f>B22-B23-B24</f>
        <v>0</v>
      </c>
      <c r="C30" s="18">
        <f t="shared" ref="C30:AQ30" si="4">C22-C23-C24</f>
        <v>0</v>
      </c>
      <c r="D30" s="18">
        <f t="shared" si="4"/>
        <v>0</v>
      </c>
      <c r="E30" s="18">
        <f t="shared" si="4"/>
        <v>0</v>
      </c>
      <c r="F30" s="18">
        <f t="shared" si="4"/>
        <v>0</v>
      </c>
      <c r="G30" s="18">
        <f t="shared" si="4"/>
        <v>0</v>
      </c>
      <c r="H30" s="18">
        <f t="shared" si="4"/>
        <v>0</v>
      </c>
      <c r="I30" s="18">
        <f t="shared" si="4"/>
        <v>0</v>
      </c>
      <c r="J30" s="18">
        <f t="shared" si="4"/>
        <v>0</v>
      </c>
      <c r="K30" s="18">
        <f t="shared" si="4"/>
        <v>0</v>
      </c>
      <c r="L30" s="18">
        <f t="shared" si="4"/>
        <v>0</v>
      </c>
      <c r="M30" s="18">
        <f t="shared" si="4"/>
        <v>0</v>
      </c>
      <c r="N30" s="18">
        <f t="shared" si="4"/>
        <v>0</v>
      </c>
      <c r="O30" s="18">
        <f t="shared" si="4"/>
        <v>0</v>
      </c>
      <c r="P30" s="18">
        <f t="shared" si="4"/>
        <v>0</v>
      </c>
      <c r="Q30" s="18">
        <f t="shared" si="4"/>
        <v>0</v>
      </c>
      <c r="R30" s="18">
        <f t="shared" si="4"/>
        <v>0</v>
      </c>
      <c r="S30" s="18">
        <f t="shared" si="4"/>
        <v>0</v>
      </c>
      <c r="T30" s="18">
        <f t="shared" si="4"/>
        <v>0</v>
      </c>
      <c r="U30" s="18">
        <f t="shared" si="4"/>
        <v>0</v>
      </c>
      <c r="V30" s="18">
        <f t="shared" si="4"/>
        <v>0</v>
      </c>
      <c r="W30" s="18">
        <f t="shared" si="4"/>
        <v>0</v>
      </c>
      <c r="X30" s="18">
        <f t="shared" si="4"/>
        <v>0</v>
      </c>
      <c r="Y30" s="18">
        <f t="shared" si="4"/>
        <v>0</v>
      </c>
      <c r="Z30" s="18">
        <f t="shared" si="4"/>
        <v>0</v>
      </c>
      <c r="AA30" s="18">
        <f t="shared" si="4"/>
        <v>0</v>
      </c>
      <c r="AB30" s="18">
        <f t="shared" si="4"/>
        <v>0</v>
      </c>
      <c r="AC30" s="18">
        <f t="shared" si="4"/>
        <v>0</v>
      </c>
      <c r="AD30" s="18">
        <f t="shared" si="4"/>
        <v>0</v>
      </c>
      <c r="AE30" s="18">
        <f t="shared" si="4"/>
        <v>0</v>
      </c>
      <c r="AF30" s="18">
        <f t="shared" si="4"/>
        <v>0</v>
      </c>
      <c r="AG30" s="18">
        <f t="shared" si="4"/>
        <v>0</v>
      </c>
      <c r="AH30" s="18">
        <f t="shared" si="4"/>
        <v>0</v>
      </c>
      <c r="AI30" s="18">
        <f t="shared" si="4"/>
        <v>0</v>
      </c>
      <c r="AJ30" s="18">
        <f t="shared" si="4"/>
        <v>0</v>
      </c>
      <c r="AK30" s="18">
        <f t="shared" si="4"/>
        <v>0</v>
      </c>
      <c r="AL30" s="18">
        <f t="shared" si="4"/>
        <v>0</v>
      </c>
      <c r="AM30" s="18">
        <f t="shared" si="4"/>
        <v>0</v>
      </c>
      <c r="AN30" s="18">
        <f t="shared" si="4"/>
        <v>0</v>
      </c>
      <c r="AO30" s="18">
        <f t="shared" si="4"/>
        <v>0</v>
      </c>
      <c r="AP30" s="18">
        <f t="shared" si="4"/>
        <v>0</v>
      </c>
      <c r="AQ30" s="18">
        <f t="shared" si="4"/>
        <v>0</v>
      </c>
    </row>
  </sheetData>
  <conditionalFormatting sqref="B26:AQ29">
    <cfRule type="cellIs" dxfId="3" priority="1" operator="notEqual">
      <formula>0</formula>
    </cfRule>
    <cfRule type="containsText" dxfId="2" priority="2" operator="containsText" text="FALSE">
      <formula>NOT(ISERROR(SEARCH("FALSE",B26)))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ColWidth="4.375" defaultRowHeight="15" x14ac:dyDescent="0.25"/>
  <cols>
    <col min="1" max="1" width="108.875" style="2" bestFit="1" customWidth="1"/>
    <col min="2" max="4" width="11.625" style="2" bestFit="1" customWidth="1"/>
    <col min="5" max="5" width="11.625" style="2" customWidth="1"/>
    <col min="6" max="13" width="11.625" style="2" bestFit="1" customWidth="1"/>
    <col min="14" max="14" width="12.375" style="2" bestFit="1" customWidth="1"/>
    <col min="15" max="31" width="11.625" style="2" bestFit="1" customWidth="1"/>
    <col min="32" max="32" width="12.375" style="2" bestFit="1" customWidth="1"/>
    <col min="33" max="43" width="12.75" style="2" bestFit="1" customWidth="1"/>
    <col min="44" max="16384" width="4.375" style="2"/>
  </cols>
  <sheetData>
    <row r="1" spans="1:43" x14ac:dyDescent="0.25"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 s="3" t="s">
        <v>141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x14ac:dyDescent="0.25">
      <c r="A3" s="5" t="s">
        <v>142</v>
      </c>
      <c r="B3" s="6">
        <v>1937211</v>
      </c>
      <c r="C3" s="6">
        <v>2442611</v>
      </c>
      <c r="D3" s="6">
        <v>2553457</v>
      </c>
      <c r="E3" s="6">
        <v>3391425</v>
      </c>
      <c r="F3" s="6">
        <v>3454647</v>
      </c>
      <c r="G3" s="6">
        <v>3771546</v>
      </c>
      <c r="H3" s="6">
        <v>3705612</v>
      </c>
      <c r="I3" s="6">
        <v>4074264</v>
      </c>
      <c r="J3" s="6">
        <v>3736808</v>
      </c>
      <c r="K3" s="6">
        <v>4754400</v>
      </c>
      <c r="L3" s="6">
        <v>4022901</v>
      </c>
      <c r="M3" s="6">
        <v>4667893</v>
      </c>
      <c r="N3" s="6">
        <v>4502361</v>
      </c>
      <c r="O3" s="6">
        <v>4842033</v>
      </c>
      <c r="P3" s="6">
        <v>5236881</v>
      </c>
      <c r="Q3" s="6">
        <v>5611272</v>
      </c>
      <c r="R3" s="6">
        <v>5302148</v>
      </c>
      <c r="S3" s="6">
        <v>5958986</v>
      </c>
      <c r="T3" s="6">
        <v>6140943</v>
      </c>
      <c r="U3" s="6">
        <v>6043233</v>
      </c>
      <c r="V3" s="6">
        <v>6130875</v>
      </c>
      <c r="W3" s="6">
        <v>6398288</v>
      </c>
      <c r="X3" s="6">
        <v>6703312</v>
      </c>
      <c r="Y3" s="6">
        <v>7051925</v>
      </c>
      <c r="Z3" s="6">
        <v>7008161</v>
      </c>
      <c r="AA3" s="6">
        <v>7576509</v>
      </c>
      <c r="AB3" s="6">
        <v>8250414</v>
      </c>
      <c r="AC3" s="6">
        <v>9742788</v>
      </c>
      <c r="AD3" s="6">
        <v>9989533</v>
      </c>
      <c r="AE3" s="6">
        <v>12375492</v>
      </c>
      <c r="AF3" s="6">
        <v>13581419</v>
      </c>
      <c r="AG3" s="6">
        <v>15004840</v>
      </c>
      <c r="AH3" s="6">
        <v>14113410</v>
      </c>
      <c r="AI3" s="6">
        <v>13679267</v>
      </c>
      <c r="AJ3" s="6">
        <v>14850118</v>
      </c>
      <c r="AK3" s="6">
        <v>16211950</v>
      </c>
      <c r="AL3" s="6">
        <v>14066302</v>
      </c>
      <c r="AM3" s="6">
        <v>17351007</v>
      </c>
      <c r="AN3" s="6">
        <v>16186994</v>
      </c>
      <c r="AO3" s="6">
        <v>19604904</v>
      </c>
      <c r="AP3" s="6">
        <v>17723658</v>
      </c>
      <c r="AQ3" s="6">
        <v>23506690</v>
      </c>
    </row>
    <row r="4" spans="1:43" x14ac:dyDescent="0.25">
      <c r="A4" s="5" t="s">
        <v>143</v>
      </c>
      <c r="B4" s="6">
        <v>-1170513</v>
      </c>
      <c r="C4" s="6">
        <v>-1639565</v>
      </c>
      <c r="D4" s="6">
        <v>-1448128</v>
      </c>
      <c r="E4" s="6">
        <v>-1666184</v>
      </c>
      <c r="F4" s="6">
        <v>-1734445</v>
      </c>
      <c r="G4" s="6">
        <v>-2236242</v>
      </c>
      <c r="H4" s="6">
        <v>-2158977</v>
      </c>
      <c r="I4" s="6">
        <v>-2220882</v>
      </c>
      <c r="J4" s="6">
        <v>-2167071</v>
      </c>
      <c r="K4" s="6">
        <v>-2193880</v>
      </c>
      <c r="L4" s="6">
        <v>-2422594</v>
      </c>
      <c r="M4" s="6">
        <v>-2150084</v>
      </c>
      <c r="N4" s="6">
        <v>-2225703</v>
      </c>
      <c r="O4" s="6">
        <v>-2493475</v>
      </c>
      <c r="P4" s="6">
        <v>-2667338</v>
      </c>
      <c r="Q4" s="6">
        <v>-2329598</v>
      </c>
      <c r="R4" s="6">
        <v>-1995321</v>
      </c>
      <c r="S4" s="6">
        <v>-2832475</v>
      </c>
      <c r="T4" s="6">
        <v>-2575520</v>
      </c>
      <c r="U4" s="6">
        <v>-2637128</v>
      </c>
      <c r="V4" s="6">
        <v>-2609661</v>
      </c>
      <c r="W4" s="6">
        <v>-3246279</v>
      </c>
      <c r="X4" s="6">
        <v>-3232769</v>
      </c>
      <c r="Y4" s="6">
        <v>-3213993</v>
      </c>
      <c r="Z4" s="6">
        <v>-3068324</v>
      </c>
      <c r="AA4" s="6">
        <v>-3506798</v>
      </c>
      <c r="AB4" s="6">
        <v>-3396006</v>
      </c>
      <c r="AC4" s="6">
        <v>-4348503</v>
      </c>
      <c r="AD4" s="6">
        <v>-4037360</v>
      </c>
      <c r="AE4" s="6">
        <v>-6425216</v>
      </c>
      <c r="AF4" s="6">
        <v>-6617685</v>
      </c>
      <c r="AG4" s="6">
        <v>-8522400</v>
      </c>
      <c r="AH4" s="6">
        <v>-8137461</v>
      </c>
      <c r="AI4" s="6">
        <v>-8404321</v>
      </c>
      <c r="AJ4" s="6">
        <v>-6521043</v>
      </c>
      <c r="AK4" s="6">
        <v>-6438694</v>
      </c>
      <c r="AL4" s="6">
        <v>-5511782</v>
      </c>
      <c r="AM4" s="6">
        <v>-6851670</v>
      </c>
      <c r="AN4" s="6">
        <v>-9826481</v>
      </c>
      <c r="AO4" s="6">
        <v>-9823496</v>
      </c>
      <c r="AP4" s="6">
        <v>-10783222</v>
      </c>
      <c r="AQ4" s="6">
        <v>-10563950</v>
      </c>
    </row>
    <row r="5" spans="1:43" x14ac:dyDescent="0.25">
      <c r="A5" s="5" t="s">
        <v>144</v>
      </c>
      <c r="B5" s="6">
        <v>27281</v>
      </c>
      <c r="C5" s="6">
        <v>26410</v>
      </c>
      <c r="D5" s="6">
        <v>44532</v>
      </c>
      <c r="E5" s="6">
        <v>11251</v>
      </c>
      <c r="F5" s="6">
        <v>26480</v>
      </c>
      <c r="G5" s="6">
        <v>36058</v>
      </c>
      <c r="H5" s="6">
        <v>34942</v>
      </c>
      <c r="I5" s="6">
        <v>100095</v>
      </c>
      <c r="J5" s="6">
        <v>107193</v>
      </c>
      <c r="K5" s="6">
        <v>116803</v>
      </c>
      <c r="L5" s="6">
        <v>115441</v>
      </c>
      <c r="M5" s="6">
        <v>91264</v>
      </c>
      <c r="N5" s="6">
        <v>141111</v>
      </c>
      <c r="O5" s="6">
        <v>135453</v>
      </c>
      <c r="P5" s="6">
        <v>158522</v>
      </c>
      <c r="Q5" s="6">
        <v>145592</v>
      </c>
      <c r="R5" s="6">
        <v>156082</v>
      </c>
      <c r="S5" s="6">
        <v>209344</v>
      </c>
      <c r="T5" s="6">
        <v>207844</v>
      </c>
      <c r="U5" s="6">
        <v>289541</v>
      </c>
      <c r="V5" s="6">
        <v>312137</v>
      </c>
      <c r="W5" s="6">
        <v>465641</v>
      </c>
      <c r="X5" s="6">
        <v>333978</v>
      </c>
      <c r="Y5" s="6">
        <v>432814</v>
      </c>
      <c r="Z5" s="6">
        <v>623674</v>
      </c>
      <c r="AA5" s="6">
        <v>884917</v>
      </c>
      <c r="AB5" s="6">
        <v>560555</v>
      </c>
      <c r="AC5" s="6">
        <v>723648</v>
      </c>
      <c r="AD5" s="6">
        <v>597334</v>
      </c>
      <c r="AE5" s="6">
        <v>853430</v>
      </c>
      <c r="AF5" s="6">
        <v>291180</v>
      </c>
      <c r="AG5" s="6">
        <v>854294</v>
      </c>
      <c r="AH5" s="6">
        <v>333479</v>
      </c>
      <c r="AI5" s="6">
        <v>428781</v>
      </c>
      <c r="AJ5" s="6">
        <v>605463</v>
      </c>
      <c r="AK5" s="6">
        <v>321406</v>
      </c>
      <c r="AL5" s="6">
        <v>756665</v>
      </c>
      <c r="AM5" s="6">
        <v>1184539</v>
      </c>
      <c r="AN5" s="6">
        <v>1126623</v>
      </c>
      <c r="AO5" s="6">
        <v>797908</v>
      </c>
      <c r="AP5" s="6">
        <v>871305</v>
      </c>
      <c r="AQ5" s="6">
        <v>1678345</v>
      </c>
    </row>
    <row r="6" spans="1:43" x14ac:dyDescent="0.25">
      <c r="A6" s="5" t="s">
        <v>145</v>
      </c>
      <c r="B6" s="6">
        <v>52149</v>
      </c>
      <c r="C6" s="6">
        <v>88413</v>
      </c>
      <c r="D6" s="6">
        <v>-9982</v>
      </c>
      <c r="E6" s="6">
        <v>538575</v>
      </c>
      <c r="F6" s="6">
        <v>109568</v>
      </c>
      <c r="G6" s="6">
        <v>128492</v>
      </c>
      <c r="H6" s="6">
        <v>354950</v>
      </c>
      <c r="I6" s="6">
        <v>-166172</v>
      </c>
      <c r="J6" s="6">
        <v>197693</v>
      </c>
      <c r="K6" s="6">
        <v>270402</v>
      </c>
      <c r="L6" s="6">
        <v>115801</v>
      </c>
      <c r="M6" s="6">
        <v>190438</v>
      </c>
      <c r="N6" s="6">
        <v>155910</v>
      </c>
      <c r="O6" s="6">
        <v>125306</v>
      </c>
      <c r="P6" s="6">
        <v>106178</v>
      </c>
      <c r="Q6" s="6">
        <v>74677</v>
      </c>
      <c r="R6" s="6">
        <v>237100</v>
      </c>
      <c r="S6" s="6">
        <v>42153</v>
      </c>
      <c r="T6" s="6">
        <v>126155</v>
      </c>
      <c r="U6" s="6">
        <v>130213</v>
      </c>
      <c r="V6" s="6">
        <v>448073</v>
      </c>
      <c r="W6" s="6">
        <v>150402</v>
      </c>
      <c r="X6" s="6">
        <v>43260</v>
      </c>
      <c r="Y6" s="6">
        <v>110494</v>
      </c>
      <c r="Z6" s="6">
        <v>326317</v>
      </c>
      <c r="AA6" s="6">
        <v>92285</v>
      </c>
      <c r="AB6" s="6">
        <v>77760</v>
      </c>
      <c r="AC6" s="6">
        <v>-270847</v>
      </c>
      <c r="AD6" s="6">
        <v>124593</v>
      </c>
      <c r="AE6" s="6">
        <v>302493</v>
      </c>
      <c r="AF6" s="6">
        <v>705390</v>
      </c>
      <c r="AG6" s="6">
        <v>522358</v>
      </c>
      <c r="AH6" s="6">
        <v>639199</v>
      </c>
      <c r="AI6" s="6">
        <v>263226</v>
      </c>
      <c r="AJ6" s="6">
        <v>126533</v>
      </c>
      <c r="AK6" s="6">
        <v>399872</v>
      </c>
      <c r="AL6" s="6">
        <v>623318</v>
      </c>
      <c r="AM6" s="6">
        <v>642956</v>
      </c>
      <c r="AN6" s="6">
        <v>418284</v>
      </c>
      <c r="AO6" s="6">
        <v>1120318</v>
      </c>
      <c r="AP6" s="6">
        <v>389330</v>
      </c>
      <c r="AQ6" s="6">
        <v>670605</v>
      </c>
    </row>
    <row r="7" spans="1:43" x14ac:dyDescent="0.25">
      <c r="A7" s="5" t="s">
        <v>146</v>
      </c>
      <c r="B7" s="6">
        <v>27976</v>
      </c>
      <c r="C7" s="6">
        <v>-26928</v>
      </c>
      <c r="D7" s="6">
        <v>25680</v>
      </c>
      <c r="E7" s="6">
        <v>30865</v>
      </c>
      <c r="F7" s="6">
        <v>40269</v>
      </c>
      <c r="G7" s="6">
        <v>-1043</v>
      </c>
      <c r="H7" s="6">
        <v>29965</v>
      </c>
      <c r="I7" s="6">
        <v>45052</v>
      </c>
      <c r="J7" s="6">
        <v>23971</v>
      </c>
      <c r="K7" s="6">
        <v>64104</v>
      </c>
      <c r="L7" s="6">
        <v>29950</v>
      </c>
      <c r="M7" s="6">
        <v>177521</v>
      </c>
      <c r="N7" s="6">
        <v>15031</v>
      </c>
      <c r="O7" s="6">
        <v>21541</v>
      </c>
      <c r="P7" s="6">
        <v>82545</v>
      </c>
      <c r="Q7" s="6">
        <v>110142</v>
      </c>
      <c r="R7" s="6">
        <v>17985</v>
      </c>
      <c r="S7" s="6">
        <v>70233</v>
      </c>
      <c r="T7" s="6">
        <v>32574</v>
      </c>
      <c r="U7" s="6">
        <v>77443</v>
      </c>
      <c r="V7" s="6">
        <v>11498</v>
      </c>
      <c r="W7" s="6">
        <v>35697</v>
      </c>
      <c r="X7" s="6">
        <v>-14618</v>
      </c>
      <c r="Y7" s="6">
        <v>-1563</v>
      </c>
      <c r="Z7" s="6">
        <v>31186</v>
      </c>
      <c r="AA7" s="6">
        <v>21386</v>
      </c>
      <c r="AB7" s="6">
        <v>21819</v>
      </c>
      <c r="AC7" s="6">
        <v>36818</v>
      </c>
      <c r="AD7" s="6">
        <v>64485</v>
      </c>
      <c r="AE7" s="6">
        <v>45528</v>
      </c>
      <c r="AF7" s="6">
        <v>49432</v>
      </c>
      <c r="AG7" s="6">
        <v>-70569</v>
      </c>
      <c r="AH7" s="6">
        <v>7853</v>
      </c>
      <c r="AI7" s="6">
        <v>29461</v>
      </c>
      <c r="AJ7" s="6">
        <v>84293</v>
      </c>
      <c r="AK7" s="6">
        <v>164152</v>
      </c>
      <c r="AL7" s="6">
        <v>419650</v>
      </c>
      <c r="AM7" s="6">
        <v>-370683</v>
      </c>
      <c r="AN7" s="6">
        <v>-14142</v>
      </c>
      <c r="AO7" s="6">
        <v>103238</v>
      </c>
      <c r="AP7" s="6">
        <v>98567</v>
      </c>
      <c r="AQ7" s="6">
        <v>12559</v>
      </c>
    </row>
    <row r="8" spans="1:43" x14ac:dyDescent="0.25">
      <c r="A8" s="5" t="s">
        <v>147</v>
      </c>
      <c r="B8" s="16">
        <v>335</v>
      </c>
      <c r="C8" s="6">
        <v>17658</v>
      </c>
      <c r="D8" s="6">
        <v>-2513</v>
      </c>
      <c r="E8" s="6">
        <v>73862</v>
      </c>
      <c r="F8" s="6">
        <v>3834</v>
      </c>
      <c r="G8" s="6">
        <v>54402</v>
      </c>
      <c r="H8" s="6">
        <v>56120</v>
      </c>
      <c r="I8" s="6">
        <v>39489</v>
      </c>
      <c r="J8" s="6">
        <v>16479</v>
      </c>
      <c r="K8" s="6">
        <v>63288</v>
      </c>
      <c r="L8" s="6">
        <v>48426</v>
      </c>
      <c r="M8" s="6">
        <v>45765</v>
      </c>
      <c r="N8" s="6">
        <v>32392</v>
      </c>
      <c r="O8" s="6">
        <v>46953</v>
      </c>
      <c r="P8" s="6">
        <v>53575</v>
      </c>
      <c r="Q8" s="6">
        <v>56097</v>
      </c>
      <c r="R8" s="6">
        <v>37493</v>
      </c>
      <c r="S8" s="6">
        <v>57505</v>
      </c>
      <c r="T8" s="6">
        <v>40825</v>
      </c>
      <c r="U8" s="6">
        <v>212204</v>
      </c>
      <c r="V8" s="6">
        <v>44256</v>
      </c>
      <c r="W8" s="6">
        <v>72210</v>
      </c>
      <c r="X8" s="6">
        <v>56586</v>
      </c>
      <c r="Y8" s="6">
        <v>71422</v>
      </c>
      <c r="Z8" s="6">
        <v>86802</v>
      </c>
      <c r="AA8" s="6">
        <v>102102</v>
      </c>
      <c r="AB8" s="6">
        <v>127227</v>
      </c>
      <c r="AC8" s="6">
        <v>121103</v>
      </c>
      <c r="AD8" s="6">
        <v>71100</v>
      </c>
      <c r="AE8" s="6">
        <v>63428</v>
      </c>
      <c r="AF8" s="6">
        <v>71758</v>
      </c>
      <c r="AG8" s="6">
        <v>84569</v>
      </c>
      <c r="AH8" s="6">
        <v>95060</v>
      </c>
      <c r="AI8" s="6">
        <v>70697</v>
      </c>
      <c r="AJ8" s="6">
        <v>85170</v>
      </c>
      <c r="AK8" s="6">
        <v>82178</v>
      </c>
      <c r="AL8" s="6">
        <v>78515</v>
      </c>
      <c r="AM8" s="6">
        <v>119251</v>
      </c>
      <c r="AN8" s="6">
        <v>181392</v>
      </c>
      <c r="AO8" s="6">
        <v>195744</v>
      </c>
      <c r="AP8" s="6">
        <v>167441</v>
      </c>
      <c r="AQ8" s="6">
        <v>142883</v>
      </c>
    </row>
    <row r="9" spans="1:43" x14ac:dyDescent="0.25">
      <c r="A9" s="5" t="s">
        <v>148</v>
      </c>
      <c r="B9" s="6">
        <v>-675072</v>
      </c>
      <c r="C9" s="6">
        <v>-710654</v>
      </c>
      <c r="D9" s="6">
        <v>-340397</v>
      </c>
      <c r="E9" s="6">
        <v>-1340239</v>
      </c>
      <c r="F9" s="6">
        <v>-940561</v>
      </c>
      <c r="G9" s="6">
        <v>-886575</v>
      </c>
      <c r="H9" s="6">
        <v>-1026230</v>
      </c>
      <c r="I9" s="6">
        <v>-1135282</v>
      </c>
      <c r="J9" s="6">
        <v>-985291</v>
      </c>
      <c r="K9" s="6">
        <v>-1076207</v>
      </c>
      <c r="L9" s="6">
        <v>-1126667</v>
      </c>
      <c r="M9" s="6">
        <v>-1254969</v>
      </c>
      <c r="N9" s="6">
        <v>-1205758</v>
      </c>
      <c r="O9" s="6">
        <v>-1211736</v>
      </c>
      <c r="P9" s="6">
        <v>-1222718</v>
      </c>
      <c r="Q9" s="6">
        <v>-1893955</v>
      </c>
      <c r="R9" s="6">
        <v>-1470559</v>
      </c>
      <c r="S9" s="6">
        <v>-1241483</v>
      </c>
      <c r="T9" s="6">
        <v>-1457092</v>
      </c>
      <c r="U9" s="6">
        <v>-1751475</v>
      </c>
      <c r="V9" s="6">
        <v>-1715762</v>
      </c>
      <c r="W9" s="6">
        <v>-1386480</v>
      </c>
      <c r="X9" s="6">
        <v>-1424323</v>
      </c>
      <c r="Y9" s="6">
        <v>-1701890</v>
      </c>
      <c r="Z9" s="6">
        <v>-1812128</v>
      </c>
      <c r="AA9" s="6">
        <v>-1975186</v>
      </c>
      <c r="AB9" s="6">
        <v>-2171299</v>
      </c>
      <c r="AC9" s="6">
        <v>-2709699</v>
      </c>
      <c r="AD9" s="6">
        <v>-2072955</v>
      </c>
      <c r="AE9" s="6">
        <v>-2162786</v>
      </c>
      <c r="AF9" s="6">
        <v>-2206246</v>
      </c>
      <c r="AG9" s="6">
        <v>-2538803</v>
      </c>
      <c r="AH9" s="6">
        <v>-2414711</v>
      </c>
      <c r="AI9" s="6">
        <v>-2638659</v>
      </c>
      <c r="AJ9" s="6">
        <v>-2946364</v>
      </c>
      <c r="AK9" s="6">
        <v>-3110087</v>
      </c>
      <c r="AL9" s="6">
        <v>-3290881</v>
      </c>
      <c r="AM9" s="6">
        <v>-2504587</v>
      </c>
      <c r="AN9" s="6">
        <v>-2595765</v>
      </c>
      <c r="AO9" s="6">
        <v>-7004151</v>
      </c>
      <c r="AP9" s="6">
        <v>-3084698</v>
      </c>
      <c r="AQ9" s="6">
        <v>-2699191</v>
      </c>
    </row>
    <row r="10" spans="1:43" x14ac:dyDescent="0.25">
      <c r="A10" s="5" t="s">
        <v>149</v>
      </c>
      <c r="B10" s="6">
        <v>-87350</v>
      </c>
      <c r="C10" s="6">
        <v>-47511</v>
      </c>
      <c r="D10" s="6">
        <v>-42956</v>
      </c>
      <c r="E10" s="6">
        <v>-30361</v>
      </c>
      <c r="F10" s="6">
        <v>-91326</v>
      </c>
      <c r="G10" s="6">
        <v>-79294</v>
      </c>
      <c r="H10" s="6">
        <v>-90034</v>
      </c>
      <c r="I10" s="6">
        <v>-233088</v>
      </c>
      <c r="J10" s="6">
        <v>-114630</v>
      </c>
      <c r="K10" s="6">
        <v>-237212</v>
      </c>
      <c r="L10" s="6">
        <v>-195519</v>
      </c>
      <c r="M10" s="6">
        <v>-202331</v>
      </c>
      <c r="N10" s="6">
        <v>-156907</v>
      </c>
      <c r="O10" s="6">
        <v>-221791</v>
      </c>
      <c r="P10" s="6">
        <v>-214168</v>
      </c>
      <c r="Q10" s="6">
        <v>-259421</v>
      </c>
      <c r="R10" s="6">
        <v>-305071</v>
      </c>
      <c r="S10" s="6">
        <v>-108454</v>
      </c>
      <c r="T10" s="6">
        <v>-199568</v>
      </c>
      <c r="U10" s="6">
        <v>-586393</v>
      </c>
      <c r="V10" s="6">
        <v>-269856</v>
      </c>
      <c r="W10" s="6">
        <v>-158777</v>
      </c>
      <c r="X10" s="6">
        <v>-321830</v>
      </c>
      <c r="Y10" s="6">
        <v>-739223</v>
      </c>
      <c r="Z10" s="6">
        <v>-403559</v>
      </c>
      <c r="AA10" s="6">
        <v>-503644</v>
      </c>
      <c r="AB10" s="6">
        <v>-170564</v>
      </c>
      <c r="AC10" s="6">
        <v>-76786</v>
      </c>
      <c r="AD10" s="6">
        <v>-1337815</v>
      </c>
      <c r="AE10" s="6">
        <v>-550423</v>
      </c>
      <c r="AF10" s="6">
        <v>-252044</v>
      </c>
      <c r="AG10" s="6">
        <v>-101165</v>
      </c>
      <c r="AH10" s="6">
        <v>-1827156</v>
      </c>
      <c r="AI10" s="6">
        <v>-802346</v>
      </c>
      <c r="AJ10" s="6">
        <v>-879190</v>
      </c>
      <c r="AK10" s="6">
        <v>-957995</v>
      </c>
      <c r="AL10" s="6">
        <v>-927857</v>
      </c>
      <c r="AM10" s="6">
        <v>-944315</v>
      </c>
      <c r="AN10" s="6">
        <v>-580593</v>
      </c>
      <c r="AO10" s="6">
        <v>-138771</v>
      </c>
      <c r="AP10" s="6">
        <v>-2518219</v>
      </c>
      <c r="AQ10" s="6">
        <v>-1233496</v>
      </c>
    </row>
    <row r="11" spans="1:43" x14ac:dyDescent="0.25">
      <c r="A11" s="5" t="s">
        <v>150</v>
      </c>
      <c r="B11" s="6">
        <v>112017</v>
      </c>
      <c r="C11" s="6">
        <v>150434</v>
      </c>
      <c r="D11" s="6">
        <v>779693</v>
      </c>
      <c r="E11" s="6">
        <v>1009194</v>
      </c>
      <c r="F11" s="6">
        <v>868466</v>
      </c>
      <c r="G11" s="6">
        <v>787344</v>
      </c>
      <c r="H11" s="6">
        <v>906348</v>
      </c>
      <c r="I11" s="6">
        <v>503476</v>
      </c>
      <c r="J11" s="6">
        <v>815152</v>
      </c>
      <c r="K11" s="6">
        <v>1761698</v>
      </c>
      <c r="L11" s="6">
        <v>587739</v>
      </c>
      <c r="M11" s="6">
        <v>1565497</v>
      </c>
      <c r="N11" s="6">
        <v>1258437</v>
      </c>
      <c r="O11" s="6">
        <v>1244284</v>
      </c>
      <c r="P11" s="6">
        <v>1533477</v>
      </c>
      <c r="Q11" s="6">
        <v>1514806</v>
      </c>
      <c r="R11" s="6">
        <v>1979857</v>
      </c>
      <c r="S11" s="6">
        <v>2155809</v>
      </c>
      <c r="T11" s="6">
        <v>2316161</v>
      </c>
      <c r="U11" s="6">
        <v>1777638</v>
      </c>
      <c r="V11" s="6">
        <v>2351560</v>
      </c>
      <c r="W11" s="6">
        <v>2330702</v>
      </c>
      <c r="X11" s="6">
        <v>2143596</v>
      </c>
      <c r="Y11" s="6">
        <v>2009986</v>
      </c>
      <c r="Z11" s="6">
        <v>2792129</v>
      </c>
      <c r="AA11" s="6">
        <v>2691571</v>
      </c>
      <c r="AB11" s="6">
        <v>3299906</v>
      </c>
      <c r="AC11" s="6">
        <v>3218522</v>
      </c>
      <c r="AD11" s="6">
        <v>3398915</v>
      </c>
      <c r="AE11" s="6">
        <v>4501946</v>
      </c>
      <c r="AF11" s="6">
        <v>5623204</v>
      </c>
      <c r="AG11" s="6">
        <v>5233124</v>
      </c>
      <c r="AH11" s="6">
        <v>2809673</v>
      </c>
      <c r="AI11" s="6">
        <v>2626106</v>
      </c>
      <c r="AJ11" s="6">
        <v>5404980</v>
      </c>
      <c r="AK11" s="6">
        <v>6672782</v>
      </c>
      <c r="AL11" s="6">
        <v>6213930</v>
      </c>
      <c r="AM11" s="6">
        <v>8626498</v>
      </c>
      <c r="AN11" s="6">
        <v>4896312</v>
      </c>
      <c r="AO11" s="6">
        <v>4855694</v>
      </c>
      <c r="AP11" s="6">
        <v>2864162</v>
      </c>
      <c r="AQ11" s="6">
        <v>11514445</v>
      </c>
    </row>
    <row r="12" spans="1:43" x14ac:dyDescent="0.25">
      <c r="A12" s="7" t="s">
        <v>151</v>
      </c>
      <c r="B12" s="4"/>
      <c r="C12" s="4"/>
      <c r="D12" s="4"/>
      <c r="E12" s="6"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 x14ac:dyDescent="0.25">
      <c r="A13" s="8" t="s">
        <v>152</v>
      </c>
      <c r="B13" s="9">
        <v>1255250</v>
      </c>
      <c r="C13" s="9">
        <v>-111680</v>
      </c>
      <c r="D13" s="9">
        <v>2380</v>
      </c>
      <c r="E13" s="6">
        <v>1097620</v>
      </c>
      <c r="F13" s="10">
        <v>0</v>
      </c>
      <c r="G13" s="10">
        <v>0</v>
      </c>
      <c r="H13" s="17">
        <v>0</v>
      </c>
      <c r="I13" s="9">
        <v>-106000</v>
      </c>
      <c r="J13" s="9">
        <v>106000</v>
      </c>
      <c r="K13" s="10">
        <v>0</v>
      </c>
      <c r="L13" s="9">
        <v>-250383</v>
      </c>
      <c r="M13" s="9">
        <v>-200000</v>
      </c>
      <c r="N13" s="9">
        <v>-1099618</v>
      </c>
      <c r="O13" s="9">
        <v>50000</v>
      </c>
      <c r="P13" s="9">
        <v>100000</v>
      </c>
      <c r="Q13" s="9">
        <v>590000</v>
      </c>
      <c r="R13" s="9">
        <v>610000</v>
      </c>
      <c r="S13" s="9">
        <v>200000</v>
      </c>
      <c r="T13" s="10">
        <v>0</v>
      </c>
      <c r="U13" s="9">
        <v>-100000</v>
      </c>
      <c r="V13" s="9">
        <v>-496125</v>
      </c>
      <c r="W13" s="9">
        <v>-219285</v>
      </c>
      <c r="X13" s="9">
        <v>615410</v>
      </c>
      <c r="Y13" s="9">
        <v>94654</v>
      </c>
      <c r="Z13" s="9">
        <v>-194654</v>
      </c>
      <c r="AA13" s="9">
        <v>-1151286</v>
      </c>
      <c r="AB13" s="9">
        <v>-1436046</v>
      </c>
      <c r="AC13" s="9">
        <v>-5922498</v>
      </c>
      <c r="AD13" s="9">
        <v>279830</v>
      </c>
      <c r="AE13" s="9">
        <v>1626235</v>
      </c>
      <c r="AF13" s="9">
        <v>-3153905</v>
      </c>
      <c r="AG13" s="9">
        <v>1662892</v>
      </c>
      <c r="AH13" s="9">
        <v>64680</v>
      </c>
      <c r="AI13" s="9">
        <v>863941</v>
      </c>
      <c r="AJ13" s="9">
        <v>2188944</v>
      </c>
      <c r="AK13" s="9">
        <v>-2097140</v>
      </c>
      <c r="AL13" s="9">
        <v>-1459381</v>
      </c>
      <c r="AM13" s="9">
        <v>1087368</v>
      </c>
      <c r="AN13" s="9">
        <v>-5872266</v>
      </c>
      <c r="AO13" s="9">
        <v>-14302752</v>
      </c>
      <c r="AP13" s="9">
        <v>12925719</v>
      </c>
      <c r="AQ13" s="9">
        <v>4966970</v>
      </c>
    </row>
    <row r="14" spans="1:43" x14ac:dyDescent="0.25">
      <c r="A14" s="8" t="s">
        <v>153</v>
      </c>
      <c r="B14" s="9">
        <v>-1161859</v>
      </c>
      <c r="C14" s="9">
        <v>-5763644</v>
      </c>
      <c r="D14" s="9">
        <v>-4731731</v>
      </c>
      <c r="E14" s="6">
        <v>-1391007</v>
      </c>
      <c r="F14" s="9">
        <v>-3204092</v>
      </c>
      <c r="G14" s="9">
        <v>4845194</v>
      </c>
      <c r="H14" s="9">
        <v>-10647793</v>
      </c>
      <c r="I14" s="9">
        <v>-7349635</v>
      </c>
      <c r="J14" s="9">
        <v>8184228</v>
      </c>
      <c r="K14" s="9">
        <v>7789581</v>
      </c>
      <c r="L14" s="9">
        <v>-8372997</v>
      </c>
      <c r="M14" s="9">
        <v>-2470910</v>
      </c>
      <c r="N14" s="9">
        <v>4489410</v>
      </c>
      <c r="O14" s="9">
        <v>1960032</v>
      </c>
      <c r="P14" s="9">
        <v>-1221905</v>
      </c>
      <c r="Q14" s="9">
        <v>-324584</v>
      </c>
      <c r="R14" s="9">
        <v>-4951096</v>
      </c>
      <c r="S14" s="9">
        <v>2860645</v>
      </c>
      <c r="T14" s="9">
        <v>-15280952</v>
      </c>
      <c r="U14" s="9">
        <v>-12570992</v>
      </c>
      <c r="V14" s="9">
        <v>6441908</v>
      </c>
      <c r="W14" s="9">
        <v>-782678</v>
      </c>
      <c r="X14" s="9">
        <v>-6868533</v>
      </c>
      <c r="Y14" s="9">
        <v>-5084099</v>
      </c>
      <c r="Z14" s="9">
        <v>6125298</v>
      </c>
      <c r="AA14" s="9">
        <v>7909491</v>
      </c>
      <c r="AB14" s="9">
        <v>3808231</v>
      </c>
      <c r="AC14" s="9">
        <v>8167284</v>
      </c>
      <c r="AD14" s="9">
        <v>-9073661</v>
      </c>
      <c r="AE14" s="9">
        <v>7716340</v>
      </c>
      <c r="AF14" s="9">
        <v>-20980453</v>
      </c>
      <c r="AG14" s="9">
        <v>10172378</v>
      </c>
      <c r="AH14" s="9">
        <v>-5352966</v>
      </c>
      <c r="AI14" s="9">
        <v>15349772</v>
      </c>
      <c r="AJ14" s="9">
        <v>3023764</v>
      </c>
      <c r="AK14" s="9">
        <v>-7547016</v>
      </c>
      <c r="AL14" s="9">
        <v>-6812081</v>
      </c>
      <c r="AM14" s="9">
        <v>-9513935</v>
      </c>
      <c r="AN14" s="9">
        <v>9794699</v>
      </c>
      <c r="AO14" s="9">
        <v>-13384634</v>
      </c>
      <c r="AP14" s="9">
        <v>-13694374</v>
      </c>
      <c r="AQ14" s="9">
        <v>-19661729</v>
      </c>
    </row>
    <row r="15" spans="1:43" x14ac:dyDescent="0.25">
      <c r="A15" s="8" t="s">
        <v>154</v>
      </c>
      <c r="B15" s="9">
        <v>38347</v>
      </c>
      <c r="C15" s="9">
        <v>-103266</v>
      </c>
      <c r="D15" s="9">
        <v>87550</v>
      </c>
      <c r="E15" s="6">
        <v>16413</v>
      </c>
      <c r="F15" s="9">
        <v>-60830</v>
      </c>
      <c r="G15" s="9">
        <v>140400</v>
      </c>
      <c r="H15" s="9">
        <v>-187199</v>
      </c>
      <c r="I15" s="9">
        <v>168401</v>
      </c>
      <c r="J15" s="9">
        <v>-98220</v>
      </c>
      <c r="K15" s="9">
        <v>84819</v>
      </c>
      <c r="L15" s="9">
        <v>2064</v>
      </c>
      <c r="M15" s="9">
        <v>-196957</v>
      </c>
      <c r="N15" s="9">
        <v>208294</v>
      </c>
      <c r="O15" s="10">
        <v>0</v>
      </c>
      <c r="P15" s="9">
        <v>-1650</v>
      </c>
      <c r="Q15" s="9">
        <v>1650</v>
      </c>
      <c r="R15" s="10">
        <v>0</v>
      </c>
      <c r="S15" s="10">
        <v>0</v>
      </c>
      <c r="T15" s="10">
        <v>0</v>
      </c>
      <c r="U15" s="10">
        <v>0</v>
      </c>
      <c r="V15" s="9">
        <v>-85426</v>
      </c>
      <c r="W15" s="9">
        <v>28815</v>
      </c>
      <c r="X15" s="9">
        <v>8083</v>
      </c>
      <c r="Y15" s="9">
        <v>48528</v>
      </c>
      <c r="Z15" s="9">
        <v>-21942994</v>
      </c>
      <c r="AA15" s="9">
        <v>21926924</v>
      </c>
      <c r="AB15" s="9">
        <v>16070</v>
      </c>
      <c r="AC15" s="10"/>
      <c r="AD15" s="10"/>
      <c r="AE15" s="9">
        <v>-205729</v>
      </c>
      <c r="AF15" s="9">
        <v>205729</v>
      </c>
      <c r="AG15" s="9">
        <v>-110079</v>
      </c>
      <c r="AH15" s="9">
        <v>-14498</v>
      </c>
      <c r="AI15" s="9">
        <v>-256515</v>
      </c>
      <c r="AJ15" s="9">
        <v>381092</v>
      </c>
      <c r="AK15" s="10">
        <v>0</v>
      </c>
      <c r="AL15" s="10"/>
      <c r="AM15" s="9">
        <v>-40229</v>
      </c>
      <c r="AN15" s="9">
        <v>-107924</v>
      </c>
      <c r="AO15" s="9">
        <v>148153</v>
      </c>
      <c r="AP15" s="9">
        <v>-111102</v>
      </c>
      <c r="AQ15" s="9">
        <v>-309897</v>
      </c>
    </row>
    <row r="16" spans="1:43" x14ac:dyDescent="0.25">
      <c r="A16" s="8" t="s">
        <v>155</v>
      </c>
      <c r="B16" s="9">
        <v>-9775692</v>
      </c>
      <c r="C16" s="9">
        <v>-5444671</v>
      </c>
      <c r="D16" s="9">
        <v>-2136499</v>
      </c>
      <c r="E16" s="6">
        <v>-8308675</v>
      </c>
      <c r="F16" s="9">
        <v>-5877840</v>
      </c>
      <c r="G16" s="9">
        <v>-8842667</v>
      </c>
      <c r="H16" s="9">
        <v>335501</v>
      </c>
      <c r="I16" s="9">
        <v>-7886708</v>
      </c>
      <c r="J16" s="9">
        <v>-11389141</v>
      </c>
      <c r="K16" s="9">
        <v>-4451924</v>
      </c>
      <c r="L16" s="9">
        <v>-554841</v>
      </c>
      <c r="M16" s="9">
        <v>-2230964</v>
      </c>
      <c r="N16" s="9">
        <v>-5804923</v>
      </c>
      <c r="O16" s="9">
        <v>-8844766</v>
      </c>
      <c r="P16" s="9">
        <v>-2386348</v>
      </c>
      <c r="Q16" s="9">
        <v>-6156693</v>
      </c>
      <c r="R16" s="9">
        <v>-6080698</v>
      </c>
      <c r="S16" s="9">
        <v>-7966854</v>
      </c>
      <c r="T16" s="9">
        <v>-4090841</v>
      </c>
      <c r="U16" s="9">
        <v>-13860321</v>
      </c>
      <c r="V16" s="9">
        <v>-8956388</v>
      </c>
      <c r="W16" s="9">
        <v>-4561592</v>
      </c>
      <c r="X16" s="9">
        <v>326260</v>
      </c>
      <c r="Y16" s="9">
        <v>-11696088</v>
      </c>
      <c r="Z16" s="9">
        <v>-433588</v>
      </c>
      <c r="AA16" s="9">
        <v>-34043933</v>
      </c>
      <c r="AB16" s="9">
        <v>-8809462</v>
      </c>
      <c r="AC16" s="9">
        <v>-17358499</v>
      </c>
      <c r="AD16" s="9">
        <v>-24672329</v>
      </c>
      <c r="AE16" s="9">
        <v>1173294</v>
      </c>
      <c r="AF16" s="9">
        <v>-4361231</v>
      </c>
      <c r="AG16" s="9">
        <v>-51687646</v>
      </c>
      <c r="AH16" s="9">
        <v>-20045087</v>
      </c>
      <c r="AI16" s="9">
        <v>-22737355</v>
      </c>
      <c r="AJ16" s="9">
        <v>-12537721</v>
      </c>
      <c r="AK16" s="9">
        <v>-43760383</v>
      </c>
      <c r="AL16" s="9">
        <v>-3621211</v>
      </c>
      <c r="AM16" s="9">
        <v>-62442790</v>
      </c>
      <c r="AN16" s="9">
        <v>19101444</v>
      </c>
      <c r="AO16" s="9">
        <v>-80849250</v>
      </c>
      <c r="AP16" s="9">
        <v>-49867097</v>
      </c>
      <c r="AQ16" s="9">
        <v>-55309366</v>
      </c>
    </row>
    <row r="17" spans="1:43" x14ac:dyDescent="0.25">
      <c r="A17" s="8" t="s">
        <v>156</v>
      </c>
      <c r="B17" s="9">
        <v>-37353</v>
      </c>
      <c r="C17" s="9">
        <v>-170403</v>
      </c>
      <c r="D17" s="9">
        <v>29011</v>
      </c>
      <c r="E17" s="6">
        <v>-425475</v>
      </c>
      <c r="F17" s="9">
        <v>-127721</v>
      </c>
      <c r="G17" s="9">
        <v>-116425</v>
      </c>
      <c r="H17" s="9">
        <v>-142502</v>
      </c>
      <c r="I17" s="9">
        <v>-173821</v>
      </c>
      <c r="J17" s="9">
        <v>-151771</v>
      </c>
      <c r="K17" s="9">
        <v>-451154</v>
      </c>
      <c r="L17" s="9">
        <v>-198096</v>
      </c>
      <c r="M17" s="9">
        <v>-215827</v>
      </c>
      <c r="N17" s="9">
        <v>-229634</v>
      </c>
      <c r="O17" s="9">
        <v>-208978</v>
      </c>
      <c r="P17" s="9">
        <v>-257297</v>
      </c>
      <c r="Q17" s="9">
        <v>-869150</v>
      </c>
      <c r="R17" s="9">
        <v>-209169</v>
      </c>
      <c r="S17" s="9">
        <v>-673189</v>
      </c>
      <c r="T17" s="9">
        <v>-362871</v>
      </c>
      <c r="U17" s="9">
        <v>-649816</v>
      </c>
      <c r="V17" s="9">
        <v>-427075</v>
      </c>
      <c r="W17" s="9">
        <v>-378353</v>
      </c>
      <c r="X17" s="9">
        <v>-279255</v>
      </c>
      <c r="Y17" s="9">
        <v>-704546</v>
      </c>
      <c r="Z17" s="10"/>
      <c r="AA17" s="9">
        <v>-947319</v>
      </c>
      <c r="AB17" s="9">
        <v>-555551</v>
      </c>
      <c r="AC17" s="9">
        <v>-915964</v>
      </c>
      <c r="AD17" s="9">
        <v>-768055</v>
      </c>
      <c r="AE17" s="9">
        <v>-932420</v>
      </c>
      <c r="AF17" s="9">
        <v>-846600</v>
      </c>
      <c r="AG17" s="9">
        <v>-767792</v>
      </c>
      <c r="AH17" s="9">
        <v>-710075</v>
      </c>
      <c r="AI17" s="9">
        <v>-973446</v>
      </c>
      <c r="AJ17" s="9">
        <v>-875754</v>
      </c>
      <c r="AK17" s="9">
        <v>-938012</v>
      </c>
      <c r="AL17" s="9">
        <v>-1565611</v>
      </c>
      <c r="AM17" s="9">
        <v>-3681973</v>
      </c>
      <c r="AN17" s="9">
        <v>-2211218</v>
      </c>
      <c r="AO17" s="9">
        <v>-695234</v>
      </c>
      <c r="AP17" s="9">
        <v>-777082</v>
      </c>
      <c r="AQ17" s="9">
        <v>-1189045</v>
      </c>
    </row>
    <row r="18" spans="1:43" x14ac:dyDescent="0.25">
      <c r="A18" s="8" t="s">
        <v>157</v>
      </c>
      <c r="B18" s="9">
        <v>509126</v>
      </c>
      <c r="C18" s="9">
        <v>1137807</v>
      </c>
      <c r="D18" s="9">
        <v>-1116422</v>
      </c>
      <c r="E18" s="6">
        <v>1025970</v>
      </c>
      <c r="F18" s="9">
        <v>34649</v>
      </c>
      <c r="G18" s="9">
        <v>400157</v>
      </c>
      <c r="H18" s="9">
        <v>187795</v>
      </c>
      <c r="I18" s="9">
        <v>1326608</v>
      </c>
      <c r="J18" s="9">
        <v>664602</v>
      </c>
      <c r="K18" s="9">
        <v>644310</v>
      </c>
      <c r="L18" s="9">
        <v>-323181</v>
      </c>
      <c r="M18" s="9">
        <v>442135</v>
      </c>
      <c r="N18" s="9">
        <v>-230273</v>
      </c>
      <c r="O18" s="9">
        <v>-942939</v>
      </c>
      <c r="P18" s="9">
        <v>1089341</v>
      </c>
      <c r="Q18" s="9">
        <v>-3714571</v>
      </c>
      <c r="R18" s="9">
        <v>328809</v>
      </c>
      <c r="S18" s="9">
        <v>365255</v>
      </c>
      <c r="T18" s="9">
        <v>-880594</v>
      </c>
      <c r="U18" s="9">
        <v>-3839983</v>
      </c>
      <c r="V18" s="9">
        <v>308606</v>
      </c>
      <c r="W18" s="9">
        <v>-2109088</v>
      </c>
      <c r="X18" s="9">
        <v>-2868722</v>
      </c>
      <c r="Y18" s="9">
        <v>-4590926</v>
      </c>
      <c r="Z18" s="9">
        <v>909571</v>
      </c>
      <c r="AA18" s="9">
        <v>-4841178</v>
      </c>
      <c r="AB18" s="9">
        <v>-1905703</v>
      </c>
      <c r="AC18" s="9">
        <v>-7220604</v>
      </c>
      <c r="AD18" s="9">
        <v>206413</v>
      </c>
      <c r="AE18" s="9">
        <v>-637877</v>
      </c>
      <c r="AF18" s="9">
        <v>-13756721</v>
      </c>
      <c r="AG18" s="9">
        <v>-1058172</v>
      </c>
      <c r="AH18" s="9">
        <v>-3363611</v>
      </c>
      <c r="AI18" s="9">
        <v>-543738</v>
      </c>
      <c r="AJ18" s="9">
        <v>8800756</v>
      </c>
      <c r="AK18" s="9">
        <v>-4732775</v>
      </c>
      <c r="AL18" s="9">
        <v>1394018</v>
      </c>
      <c r="AM18" s="9">
        <v>-3246827</v>
      </c>
      <c r="AN18" s="9">
        <v>9748371</v>
      </c>
      <c r="AO18" s="9">
        <v>13290382</v>
      </c>
      <c r="AP18" s="9">
        <v>489574</v>
      </c>
      <c r="AQ18" s="9">
        <v>-6383978</v>
      </c>
    </row>
    <row r="19" spans="1:43" x14ac:dyDescent="0.25">
      <c r="A19" s="7" t="s">
        <v>158</v>
      </c>
      <c r="B19" s="4"/>
      <c r="C19" s="4"/>
      <c r="D19" s="4"/>
      <c r="E19" s="6"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x14ac:dyDescent="0.25">
      <c r="A20" s="8" t="s">
        <v>159</v>
      </c>
      <c r="B20" s="9">
        <v>-2226851</v>
      </c>
      <c r="C20" s="9">
        <v>-39707</v>
      </c>
      <c r="D20" s="9">
        <v>-29167</v>
      </c>
      <c r="E20" s="6">
        <v>-14961</v>
      </c>
      <c r="F20" s="9">
        <v>1873141</v>
      </c>
      <c r="G20" s="9">
        <v>-1897619</v>
      </c>
      <c r="H20" s="10">
        <v>-687</v>
      </c>
      <c r="I20" s="9">
        <v>3783</v>
      </c>
      <c r="J20" s="9">
        <v>-28765</v>
      </c>
      <c r="K20" s="9">
        <v>3691</v>
      </c>
      <c r="L20" s="9">
        <v>2020766</v>
      </c>
      <c r="M20" s="9">
        <v>5759938</v>
      </c>
      <c r="N20" s="9">
        <v>-5731376</v>
      </c>
      <c r="O20" s="9">
        <v>-13091</v>
      </c>
      <c r="P20" s="9">
        <v>37647</v>
      </c>
      <c r="Q20" s="9">
        <v>-1995912</v>
      </c>
      <c r="R20" s="9">
        <v>393840</v>
      </c>
      <c r="S20" s="9">
        <v>-421224</v>
      </c>
      <c r="T20" s="9">
        <v>-22110</v>
      </c>
      <c r="U20" s="9">
        <v>-16886</v>
      </c>
      <c r="V20" s="9">
        <v>-12761</v>
      </c>
      <c r="W20" s="9">
        <v>-12701</v>
      </c>
      <c r="X20" s="9">
        <v>-12435</v>
      </c>
      <c r="Y20" s="9">
        <v>-12217</v>
      </c>
      <c r="Z20" s="9">
        <v>-11041</v>
      </c>
      <c r="AA20" s="9">
        <v>-12201</v>
      </c>
      <c r="AB20" s="9">
        <v>-10850</v>
      </c>
      <c r="AC20" s="9">
        <v>10762694</v>
      </c>
      <c r="AD20" s="9">
        <v>-10785179</v>
      </c>
      <c r="AE20" s="9">
        <v>-5955</v>
      </c>
      <c r="AF20" s="10">
        <v>-295</v>
      </c>
      <c r="AG20" s="9">
        <v>-3239</v>
      </c>
      <c r="AH20" s="9">
        <v>-6431</v>
      </c>
      <c r="AI20" s="10">
        <v>819</v>
      </c>
      <c r="AJ20" s="9">
        <v>-3058</v>
      </c>
      <c r="AK20" s="9">
        <v>-2486</v>
      </c>
      <c r="AL20" s="9">
        <v>12422</v>
      </c>
      <c r="AM20" s="9">
        <v>-17904</v>
      </c>
      <c r="AN20" s="9">
        <v>5178</v>
      </c>
      <c r="AO20" s="9">
        <v>11416756</v>
      </c>
      <c r="AP20" s="9">
        <v>-11416944</v>
      </c>
      <c r="AQ20" s="9">
        <v>-1940</v>
      </c>
    </row>
    <row r="21" spans="1:43" x14ac:dyDescent="0.25">
      <c r="A21" s="8" t="s">
        <v>160</v>
      </c>
      <c r="B21" s="9">
        <v>1500389</v>
      </c>
      <c r="C21" s="9">
        <v>3645691</v>
      </c>
      <c r="D21" s="9">
        <v>2419831</v>
      </c>
      <c r="E21" s="6">
        <v>5523823</v>
      </c>
      <c r="F21" s="9">
        <v>382629</v>
      </c>
      <c r="G21" s="9">
        <v>5039783</v>
      </c>
      <c r="H21" s="9">
        <v>2461233</v>
      </c>
      <c r="I21" s="9">
        <v>9649068</v>
      </c>
      <c r="J21" s="9">
        <v>3793478</v>
      </c>
      <c r="K21" s="9">
        <v>-14638784</v>
      </c>
      <c r="L21" s="9">
        <v>3284656</v>
      </c>
      <c r="M21" s="9">
        <v>11032533</v>
      </c>
      <c r="N21" s="9">
        <v>-6456160</v>
      </c>
      <c r="O21" s="9">
        <v>-311218</v>
      </c>
      <c r="P21" s="9">
        <v>9021829</v>
      </c>
      <c r="Q21" s="9">
        <v>3033987</v>
      </c>
      <c r="R21" s="9">
        <v>-6548661</v>
      </c>
      <c r="S21" s="9">
        <v>-10886156</v>
      </c>
      <c r="T21" s="9">
        <v>9410906</v>
      </c>
      <c r="U21" s="9">
        <v>33405967</v>
      </c>
      <c r="V21" s="9">
        <v>-5306507</v>
      </c>
      <c r="W21" s="9">
        <v>-9610280</v>
      </c>
      <c r="X21" s="9">
        <v>21093094</v>
      </c>
      <c r="Y21" s="9">
        <v>25890702</v>
      </c>
      <c r="Z21" s="9">
        <v>-13768816</v>
      </c>
      <c r="AA21" s="9">
        <v>-7286784</v>
      </c>
      <c r="AB21" s="9">
        <v>13450015</v>
      </c>
      <c r="AC21" s="9">
        <v>-6983797</v>
      </c>
      <c r="AD21" s="9">
        <v>4674389</v>
      </c>
      <c r="AE21" s="9">
        <v>-34561247</v>
      </c>
      <c r="AF21" s="9">
        <v>-11228643</v>
      </c>
      <c r="AG21" s="9">
        <v>60549279</v>
      </c>
      <c r="AH21" s="9">
        <v>-5077968</v>
      </c>
      <c r="AI21" s="9">
        <v>11678404</v>
      </c>
      <c r="AJ21" s="9">
        <v>-26384487</v>
      </c>
      <c r="AK21" s="9">
        <v>7157652</v>
      </c>
      <c r="AL21" s="9">
        <v>-25782141</v>
      </c>
      <c r="AM21" s="9">
        <v>25590900</v>
      </c>
      <c r="AN21" s="9">
        <v>31721723</v>
      </c>
      <c r="AO21" s="9">
        <v>39085104</v>
      </c>
      <c r="AP21" s="9">
        <v>-16168466</v>
      </c>
      <c r="AQ21" s="9">
        <v>-5949306</v>
      </c>
    </row>
    <row r="22" spans="1:43" x14ac:dyDescent="0.25">
      <c r="A22" s="8" t="s">
        <v>161</v>
      </c>
      <c r="B22" s="9">
        <v>11542887</v>
      </c>
      <c r="C22" s="9">
        <v>7081751</v>
      </c>
      <c r="D22" s="9">
        <v>4648352</v>
      </c>
      <c r="E22" s="6">
        <v>5484062</v>
      </c>
      <c r="F22" s="9">
        <v>9576752</v>
      </c>
      <c r="G22" s="9">
        <v>2834229</v>
      </c>
      <c r="H22" s="9">
        <v>2405568</v>
      </c>
      <c r="I22" s="9">
        <v>2421149</v>
      </c>
      <c r="J22" s="9">
        <v>-3235370</v>
      </c>
      <c r="K22" s="9">
        <v>9474865</v>
      </c>
      <c r="L22" s="9">
        <v>3189336</v>
      </c>
      <c r="M22" s="9">
        <v>-1906206</v>
      </c>
      <c r="N22" s="9">
        <v>-1365910</v>
      </c>
      <c r="O22" s="9">
        <v>3363396</v>
      </c>
      <c r="P22" s="9">
        <v>-5139704</v>
      </c>
      <c r="Q22" s="9">
        <v>1100700</v>
      </c>
      <c r="R22" s="9">
        <v>6803922</v>
      </c>
      <c r="S22" s="9">
        <v>16982539</v>
      </c>
      <c r="T22" s="9">
        <v>18638420</v>
      </c>
      <c r="U22" s="9">
        <v>6176813</v>
      </c>
      <c r="V22" s="9">
        <v>10367248</v>
      </c>
      <c r="W22" s="9">
        <v>13546419</v>
      </c>
      <c r="X22" s="9">
        <v>-4104469</v>
      </c>
      <c r="Y22" s="9">
        <v>-11146350</v>
      </c>
      <c r="Z22" s="9">
        <v>18206910</v>
      </c>
      <c r="AA22" s="9">
        <v>11030068</v>
      </c>
      <c r="AB22" s="9">
        <v>-4739327</v>
      </c>
      <c r="AC22" s="9">
        <v>8016406</v>
      </c>
      <c r="AD22" s="9">
        <v>34005769</v>
      </c>
      <c r="AE22" s="9">
        <v>59842194</v>
      </c>
      <c r="AF22" s="9">
        <v>32067845</v>
      </c>
      <c r="AG22" s="9">
        <v>29064906</v>
      </c>
      <c r="AH22" s="9">
        <v>8011196</v>
      </c>
      <c r="AI22" s="9">
        <v>7784259</v>
      </c>
      <c r="AJ22" s="9">
        <v>10445323</v>
      </c>
      <c r="AK22" s="9">
        <v>40486499</v>
      </c>
      <c r="AL22" s="9">
        <v>27816043</v>
      </c>
      <c r="AM22" s="9">
        <v>13379021</v>
      </c>
      <c r="AN22" s="9">
        <v>9162749</v>
      </c>
      <c r="AO22" s="9">
        <v>72851304</v>
      </c>
      <c r="AP22" s="9">
        <v>60834661</v>
      </c>
      <c r="AQ22" s="9">
        <v>52509758</v>
      </c>
    </row>
    <row r="23" spans="1:43" x14ac:dyDescent="0.25">
      <c r="A23" s="8" t="s">
        <v>162</v>
      </c>
      <c r="B23" s="9">
        <v>1250000</v>
      </c>
      <c r="C23" s="9">
        <v>-102000</v>
      </c>
      <c r="D23" s="9">
        <v>2091000</v>
      </c>
      <c r="E23" s="6">
        <v>-3168986</v>
      </c>
      <c r="F23" s="9">
        <v>726987</v>
      </c>
      <c r="G23" s="9">
        <v>-401001</v>
      </c>
      <c r="H23" s="9">
        <v>-771000</v>
      </c>
      <c r="I23" s="9">
        <v>-789000</v>
      </c>
      <c r="J23" s="9">
        <v>-347000</v>
      </c>
      <c r="K23" s="9">
        <v>4964637</v>
      </c>
      <c r="L23" s="9">
        <v>339363</v>
      </c>
      <c r="M23" s="9">
        <v>177000</v>
      </c>
      <c r="N23" s="9">
        <v>-797319</v>
      </c>
      <c r="O23" s="9">
        <v>3616319</v>
      </c>
      <c r="P23" s="9">
        <v>2281400</v>
      </c>
      <c r="Q23" s="9">
        <v>4985663</v>
      </c>
      <c r="R23" s="9">
        <v>161000</v>
      </c>
      <c r="S23" s="9">
        <v>3545000</v>
      </c>
      <c r="T23" s="9">
        <v>1119000</v>
      </c>
      <c r="U23" s="9">
        <v>4494194</v>
      </c>
      <c r="V23" s="9">
        <v>-54123</v>
      </c>
      <c r="W23" s="9">
        <v>-161059</v>
      </c>
      <c r="X23" s="9">
        <v>-3121478</v>
      </c>
      <c r="Y23" s="9">
        <v>11760515</v>
      </c>
      <c r="Z23" s="9">
        <v>-656743</v>
      </c>
      <c r="AA23" s="9">
        <v>-2994977</v>
      </c>
      <c r="AB23" s="9">
        <v>3661370</v>
      </c>
      <c r="AC23" s="9">
        <v>1395877</v>
      </c>
      <c r="AD23" s="9">
        <v>12076686</v>
      </c>
      <c r="AE23" s="9">
        <v>-1357902</v>
      </c>
      <c r="AF23" s="9">
        <v>-2747722</v>
      </c>
      <c r="AG23" s="9">
        <v>-1194554</v>
      </c>
      <c r="AH23" s="9">
        <v>-4636270</v>
      </c>
      <c r="AI23" s="9">
        <v>-1709222</v>
      </c>
      <c r="AJ23" s="9">
        <v>22774511</v>
      </c>
      <c r="AK23" s="9">
        <v>13982578</v>
      </c>
      <c r="AL23" s="9">
        <v>7000864</v>
      </c>
      <c r="AM23" s="9">
        <v>-4664432</v>
      </c>
      <c r="AN23" s="9">
        <v>-14423903</v>
      </c>
      <c r="AO23" s="9">
        <v>14118632</v>
      </c>
      <c r="AP23" s="9">
        <v>14808994</v>
      </c>
      <c r="AQ23" s="9">
        <v>4110138</v>
      </c>
    </row>
    <row r="24" spans="1:43" x14ac:dyDescent="0.25">
      <c r="A24" s="8" t="s">
        <v>163</v>
      </c>
      <c r="B24" s="9">
        <v>-4226</v>
      </c>
      <c r="C24" s="9">
        <v>-6490</v>
      </c>
      <c r="D24" s="9">
        <v>5563</v>
      </c>
      <c r="E24" s="6">
        <v>26022</v>
      </c>
      <c r="F24" s="9">
        <v>24594</v>
      </c>
      <c r="G24" s="9">
        <v>39241</v>
      </c>
      <c r="H24" s="9">
        <v>20774</v>
      </c>
      <c r="I24" s="10">
        <v>-300</v>
      </c>
      <c r="J24" s="9">
        <v>19567</v>
      </c>
      <c r="K24" s="9">
        <v>61407</v>
      </c>
      <c r="L24" s="9">
        <v>54804</v>
      </c>
      <c r="M24" s="9">
        <v>-17853</v>
      </c>
      <c r="N24" s="9">
        <v>1223</v>
      </c>
      <c r="O24" s="9">
        <v>12788</v>
      </c>
      <c r="P24" s="9">
        <v>-11565</v>
      </c>
      <c r="Q24" s="9">
        <v>-4620</v>
      </c>
      <c r="R24" s="9">
        <v>44629</v>
      </c>
      <c r="S24" s="9">
        <v>-39188</v>
      </c>
      <c r="T24" s="10">
        <v>-497</v>
      </c>
      <c r="U24" s="9">
        <v>-11273</v>
      </c>
      <c r="V24" s="9">
        <v>-7300</v>
      </c>
      <c r="W24" s="9">
        <v>-7295</v>
      </c>
      <c r="X24" s="9">
        <v>-101338</v>
      </c>
      <c r="Y24" s="9">
        <v>15634</v>
      </c>
      <c r="Z24" s="9">
        <v>-77269</v>
      </c>
      <c r="AA24" s="9">
        <v>47259</v>
      </c>
      <c r="AB24" s="17">
        <v>-973</v>
      </c>
      <c r="AC24" s="9">
        <v>-45726</v>
      </c>
      <c r="AD24" s="9">
        <v>-68587</v>
      </c>
      <c r="AE24" s="9">
        <v>9365</v>
      </c>
      <c r="AF24" s="9">
        <v>10357</v>
      </c>
      <c r="AG24" s="17">
        <v>-161</v>
      </c>
      <c r="AH24" s="9">
        <v>-14908</v>
      </c>
      <c r="AI24" s="9">
        <v>60257</v>
      </c>
      <c r="AJ24" s="9">
        <v>-157830</v>
      </c>
      <c r="AK24" s="9">
        <v>89795</v>
      </c>
      <c r="AL24" s="9">
        <v>-58495</v>
      </c>
      <c r="AM24" s="9">
        <v>57254</v>
      </c>
      <c r="AN24" s="9">
        <v>-52625</v>
      </c>
      <c r="AO24" s="9">
        <v>-12625</v>
      </c>
      <c r="AP24" s="9">
        <v>-77348</v>
      </c>
      <c r="AQ24" s="9">
        <v>2584</v>
      </c>
    </row>
    <row r="25" spans="1:43" x14ac:dyDescent="0.25">
      <c r="A25" s="8" t="s">
        <v>164</v>
      </c>
      <c r="B25" s="10">
        <v>0</v>
      </c>
      <c r="C25" s="10">
        <v>0</v>
      </c>
      <c r="D25" s="10">
        <v>0</v>
      </c>
      <c r="E25" s="6">
        <v>9326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9">
        <v>-70098</v>
      </c>
      <c r="L25" s="10">
        <v>0</v>
      </c>
      <c r="M25" s="10">
        <v>0</v>
      </c>
      <c r="N25" s="9">
        <v>2114</v>
      </c>
      <c r="O25" s="9">
        <v>27985</v>
      </c>
      <c r="P25" s="9">
        <v>-30099</v>
      </c>
      <c r="Q25" s="9">
        <v>14262</v>
      </c>
      <c r="R25" s="9">
        <v>8807</v>
      </c>
      <c r="S25" s="9">
        <v>29560</v>
      </c>
      <c r="T25" s="9">
        <v>-21557</v>
      </c>
      <c r="U25" s="9">
        <v>184109</v>
      </c>
      <c r="V25" s="9">
        <v>-215182</v>
      </c>
      <c r="W25" s="9">
        <v>-801866</v>
      </c>
      <c r="X25" s="9">
        <v>801866</v>
      </c>
      <c r="Y25" s="9">
        <v>15550</v>
      </c>
      <c r="Z25" s="9">
        <v>29457</v>
      </c>
      <c r="AA25" s="9">
        <v>-45007</v>
      </c>
      <c r="AB25" s="9">
        <v>179101</v>
      </c>
      <c r="AC25" s="9">
        <v>47379</v>
      </c>
      <c r="AD25" s="9">
        <v>-149564</v>
      </c>
      <c r="AE25" s="9">
        <v>-76916</v>
      </c>
      <c r="AF25" s="9">
        <v>272222</v>
      </c>
      <c r="AG25" s="9">
        <v>-272222</v>
      </c>
      <c r="AH25" s="10"/>
      <c r="AI25" s="10"/>
      <c r="AJ25" s="9">
        <v>113837</v>
      </c>
      <c r="AK25" s="9">
        <v>-95388</v>
      </c>
      <c r="AL25" s="9">
        <v>261090</v>
      </c>
      <c r="AM25" s="9">
        <v>-279539</v>
      </c>
      <c r="AN25" s="10">
        <v>0</v>
      </c>
      <c r="AO25" s="10">
        <v>427</v>
      </c>
      <c r="AP25" s="10">
        <v>-427</v>
      </c>
      <c r="AQ25" s="10">
        <v>0</v>
      </c>
    </row>
    <row r="26" spans="1:43" x14ac:dyDescent="0.25">
      <c r="A26" s="8" t="s">
        <v>165</v>
      </c>
      <c r="B26" s="9">
        <v>-82533</v>
      </c>
      <c r="C26" s="9">
        <v>283779</v>
      </c>
      <c r="D26" s="9">
        <v>-228814</v>
      </c>
      <c r="E26" s="6">
        <v>207466</v>
      </c>
      <c r="F26" s="9">
        <v>-34282</v>
      </c>
      <c r="G26" s="9">
        <v>4804</v>
      </c>
      <c r="H26" s="9">
        <v>309260</v>
      </c>
      <c r="I26" s="9">
        <v>-66510</v>
      </c>
      <c r="J26" s="9">
        <v>5315</v>
      </c>
      <c r="K26" s="9">
        <v>294213</v>
      </c>
      <c r="L26" s="9">
        <v>-186666</v>
      </c>
      <c r="M26" s="9">
        <v>462836</v>
      </c>
      <c r="N26" s="9">
        <v>-201291</v>
      </c>
      <c r="O26" s="9">
        <v>184970</v>
      </c>
      <c r="P26" s="9">
        <v>-102018</v>
      </c>
      <c r="Q26" s="9">
        <v>3819511</v>
      </c>
      <c r="R26" s="9">
        <v>-7392</v>
      </c>
      <c r="S26" s="9">
        <v>161264</v>
      </c>
      <c r="T26" s="9">
        <v>14902</v>
      </c>
      <c r="U26" s="9">
        <v>285644</v>
      </c>
      <c r="V26" s="9">
        <v>-125194</v>
      </c>
      <c r="W26" s="9">
        <v>164509</v>
      </c>
      <c r="X26" s="9">
        <v>-398836</v>
      </c>
      <c r="Y26" s="9">
        <v>615778</v>
      </c>
      <c r="Z26" s="9">
        <v>357958</v>
      </c>
      <c r="AA26" s="9">
        <v>-101549</v>
      </c>
      <c r="AB26" s="9">
        <v>-490053</v>
      </c>
      <c r="AC26" s="9">
        <v>1146084</v>
      </c>
      <c r="AD26" s="9">
        <v>-560794</v>
      </c>
      <c r="AE26" s="9">
        <v>349691</v>
      </c>
      <c r="AF26" s="9">
        <v>1061583</v>
      </c>
      <c r="AG26" s="9">
        <v>928426</v>
      </c>
      <c r="AH26" s="9">
        <v>696253</v>
      </c>
      <c r="AI26" s="9">
        <v>2260686</v>
      </c>
      <c r="AJ26" s="9">
        <v>-2587695</v>
      </c>
      <c r="AK26" s="9">
        <v>2193829</v>
      </c>
      <c r="AL26" s="9">
        <v>-1021404</v>
      </c>
      <c r="AM26" s="9">
        <v>33472443</v>
      </c>
      <c r="AN26" s="9">
        <v>-35681403</v>
      </c>
      <c r="AO26" s="9">
        <v>2174860</v>
      </c>
      <c r="AP26" s="9">
        <v>-69304</v>
      </c>
      <c r="AQ26" s="9">
        <v>-5602015</v>
      </c>
    </row>
    <row r="27" spans="1:43" x14ac:dyDescent="0.25">
      <c r="A27" s="8" t="s">
        <v>166</v>
      </c>
      <c r="B27" s="10">
        <v>-534</v>
      </c>
      <c r="C27" s="10">
        <v>0</v>
      </c>
      <c r="D27" s="10">
        <v>0</v>
      </c>
      <c r="E27" s="6">
        <v>0</v>
      </c>
      <c r="F27" s="9">
        <v>-2658</v>
      </c>
      <c r="G27" s="10">
        <v>-150</v>
      </c>
      <c r="H27" s="10">
        <v>-595</v>
      </c>
      <c r="I27" s="10">
        <v>-197</v>
      </c>
      <c r="J27" s="9">
        <v>-1364</v>
      </c>
      <c r="K27" s="10">
        <v>-66</v>
      </c>
      <c r="L27" s="10">
        <v>-881</v>
      </c>
      <c r="M27" s="9">
        <v>-1863</v>
      </c>
      <c r="N27" s="9">
        <v>-1764</v>
      </c>
      <c r="O27" s="10">
        <v>0</v>
      </c>
      <c r="P27" s="10">
        <v>-688</v>
      </c>
      <c r="Q27" s="10">
        <v>-980</v>
      </c>
      <c r="R27" s="9">
        <v>-2228</v>
      </c>
      <c r="S27" s="10">
        <v>0</v>
      </c>
      <c r="T27" s="10">
        <v>0</v>
      </c>
      <c r="U27" s="10">
        <v>0</v>
      </c>
      <c r="V27" s="9">
        <v>-2614</v>
      </c>
      <c r="W27" s="10">
        <v>-520</v>
      </c>
      <c r="X27" s="10">
        <v>0</v>
      </c>
      <c r="Y27" s="9">
        <v>-4300</v>
      </c>
      <c r="Z27" s="9">
        <v>-3422</v>
      </c>
      <c r="AA27" s="9">
        <v>-2000</v>
      </c>
      <c r="AB27" s="10">
        <v>-290</v>
      </c>
      <c r="AC27" s="9">
        <v>-4549</v>
      </c>
      <c r="AD27" s="9">
        <v>-4770</v>
      </c>
      <c r="AE27" s="9">
        <v>-2381</v>
      </c>
      <c r="AF27" s="9">
        <v>-7610</v>
      </c>
      <c r="AG27" s="9">
        <v>-15554</v>
      </c>
      <c r="AH27" s="10">
        <v>-625</v>
      </c>
      <c r="AI27" s="10">
        <v>-868</v>
      </c>
      <c r="AJ27" s="9">
        <v>-1720</v>
      </c>
      <c r="AK27" s="9">
        <v>-14946</v>
      </c>
      <c r="AL27" s="9">
        <v>-13272</v>
      </c>
      <c r="AM27" s="9">
        <v>-4380</v>
      </c>
      <c r="AN27" s="9">
        <v>-51940</v>
      </c>
      <c r="AO27" s="10">
        <v>-870</v>
      </c>
      <c r="AP27" s="9">
        <v>-9817</v>
      </c>
      <c r="AQ27" s="10">
        <v>-159</v>
      </c>
    </row>
    <row r="28" spans="1:43" x14ac:dyDescent="0.25">
      <c r="A28" s="5" t="s">
        <v>167</v>
      </c>
      <c r="B28" s="6">
        <v>2918968</v>
      </c>
      <c r="C28" s="6">
        <v>557601</v>
      </c>
      <c r="D28" s="6">
        <v>1820747</v>
      </c>
      <c r="E28" s="6">
        <v>1090792</v>
      </c>
      <c r="F28" s="6">
        <v>4179795</v>
      </c>
      <c r="G28" s="6">
        <v>2833290</v>
      </c>
      <c r="H28" s="6">
        <v>-5123297</v>
      </c>
      <c r="I28" s="6">
        <v>-2299686</v>
      </c>
      <c r="J28" s="6">
        <v>-1663289</v>
      </c>
      <c r="K28" s="6">
        <v>5467195</v>
      </c>
      <c r="L28" s="6">
        <v>-408317</v>
      </c>
      <c r="M28" s="6">
        <v>12199359</v>
      </c>
      <c r="N28" s="6">
        <v>-15958790</v>
      </c>
      <c r="O28" s="6">
        <v>138782</v>
      </c>
      <c r="P28" s="6">
        <v>4912420</v>
      </c>
      <c r="Q28" s="6">
        <v>1994069</v>
      </c>
      <c r="R28" s="6">
        <v>-7468380</v>
      </c>
      <c r="S28" s="6">
        <v>6313461</v>
      </c>
      <c r="T28" s="6">
        <v>10839967</v>
      </c>
      <c r="U28" s="6">
        <v>15275094</v>
      </c>
      <c r="V28" s="6">
        <v>3780627</v>
      </c>
      <c r="W28" s="6">
        <v>-2574272</v>
      </c>
      <c r="X28" s="6">
        <v>7233243</v>
      </c>
      <c r="Y28" s="6">
        <v>7212821</v>
      </c>
      <c r="Z28" s="6">
        <v>-8667204</v>
      </c>
      <c r="AA28" s="6">
        <v>-7820921</v>
      </c>
      <c r="AB28" s="6">
        <v>6466438</v>
      </c>
      <c r="AC28" s="6">
        <v>-5697391</v>
      </c>
      <c r="AD28" s="6">
        <v>8559063</v>
      </c>
      <c r="AE28" s="6">
        <v>37438638</v>
      </c>
      <c r="AF28" s="6">
        <v>-17842240</v>
      </c>
      <c r="AG28" s="6">
        <v>52501586</v>
      </c>
      <c r="AH28" s="6">
        <v>-27640637</v>
      </c>
      <c r="AI28" s="6">
        <v>14403100</v>
      </c>
      <c r="AJ28" s="6">
        <v>10584942</v>
      </c>
      <c r="AK28" s="6">
        <v>11394989</v>
      </c>
      <c r="AL28" s="6">
        <v>2364771</v>
      </c>
      <c r="AM28" s="6">
        <v>-1678525</v>
      </c>
      <c r="AN28" s="6">
        <v>26029197</v>
      </c>
      <c r="AO28" s="6">
        <v>48695947</v>
      </c>
      <c r="AP28" s="6">
        <v>-268851</v>
      </c>
      <c r="AQ28" s="6">
        <v>-21303540</v>
      </c>
    </row>
    <row r="29" spans="1:43" x14ac:dyDescent="0.25">
      <c r="A29" s="3" t="s">
        <v>168</v>
      </c>
      <c r="B29" s="4"/>
      <c r="C29" s="4"/>
      <c r="D29" s="4"/>
      <c r="E29" s="6"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x14ac:dyDescent="0.25">
      <c r="A30" s="5" t="s">
        <v>169</v>
      </c>
      <c r="B30" s="4">
        <v>0</v>
      </c>
      <c r="C30" s="4">
        <v>0</v>
      </c>
      <c r="D30" s="4">
        <v>0</v>
      </c>
      <c r="E30" s="6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/>
      <c r="W30" s="4"/>
      <c r="X30" s="4">
        <v>0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>
        <v>0</v>
      </c>
    </row>
    <row r="31" spans="1:43" x14ac:dyDescent="0.25">
      <c r="A31" s="5" t="s">
        <v>170</v>
      </c>
      <c r="B31" s="6">
        <v>-14212</v>
      </c>
      <c r="C31" s="6">
        <v>-4653</v>
      </c>
      <c r="D31" s="6">
        <v>-41290</v>
      </c>
      <c r="E31" s="6">
        <v>-212053</v>
      </c>
      <c r="F31" s="6">
        <v>-13023</v>
      </c>
      <c r="G31" s="6">
        <v>-5450</v>
      </c>
      <c r="H31" s="6">
        <v>-15310</v>
      </c>
      <c r="I31" s="6">
        <v>-247843</v>
      </c>
      <c r="J31" s="6">
        <v>-20317</v>
      </c>
      <c r="K31" s="6">
        <v>-43695</v>
      </c>
      <c r="L31" s="6">
        <v>-66623</v>
      </c>
      <c r="M31" s="6">
        <v>46135</v>
      </c>
      <c r="N31" s="6">
        <v>-42403</v>
      </c>
      <c r="O31" s="6">
        <v>-45548</v>
      </c>
      <c r="P31" s="6">
        <v>-25550</v>
      </c>
      <c r="Q31" s="6">
        <v>-69694</v>
      </c>
      <c r="R31" s="6">
        <v>-97381</v>
      </c>
      <c r="S31" s="4">
        <v>52</v>
      </c>
      <c r="T31" s="6">
        <v>-127843</v>
      </c>
      <c r="U31" s="6">
        <v>-57593</v>
      </c>
      <c r="V31" s="6">
        <v>-155122</v>
      </c>
      <c r="W31" s="6">
        <v>-27006</v>
      </c>
      <c r="X31" s="6">
        <v>-50559</v>
      </c>
      <c r="Y31" s="6">
        <v>-121213</v>
      </c>
      <c r="Z31" s="6">
        <v>-6194</v>
      </c>
      <c r="AA31" s="6">
        <v>-8048</v>
      </c>
      <c r="AB31" s="6">
        <v>-52764</v>
      </c>
      <c r="AC31" s="6">
        <v>-54995</v>
      </c>
      <c r="AD31" s="6">
        <v>-25028</v>
      </c>
      <c r="AE31" s="6">
        <v>-54250</v>
      </c>
      <c r="AF31" s="6">
        <v>-56655</v>
      </c>
      <c r="AG31" s="6">
        <v>-137990</v>
      </c>
      <c r="AH31" s="6">
        <v>-112206</v>
      </c>
      <c r="AI31" s="6">
        <v>-95318</v>
      </c>
      <c r="AJ31" s="6">
        <v>-178629</v>
      </c>
      <c r="AK31" s="6">
        <v>-154995</v>
      </c>
      <c r="AL31" s="6">
        <v>-41402</v>
      </c>
      <c r="AM31" s="6">
        <v>-70019</v>
      </c>
      <c r="AN31" s="6">
        <v>-63234</v>
      </c>
      <c r="AO31" s="6">
        <v>-175683</v>
      </c>
      <c r="AP31" s="6">
        <v>-68654</v>
      </c>
      <c r="AQ31" s="6">
        <v>-44818</v>
      </c>
    </row>
    <row r="32" spans="1:43" x14ac:dyDescent="0.25">
      <c r="A32" s="5" t="s">
        <v>171</v>
      </c>
      <c r="B32" s="6">
        <v>20213</v>
      </c>
      <c r="C32" s="6">
        <v>-10107</v>
      </c>
      <c r="D32" s="6">
        <v>12302</v>
      </c>
      <c r="E32" s="6">
        <v>6726</v>
      </c>
      <c r="F32" s="6">
        <v>15531</v>
      </c>
      <c r="G32" s="6">
        <v>-13905</v>
      </c>
      <c r="H32" s="16">
        <v>517</v>
      </c>
      <c r="I32" s="6">
        <v>11936</v>
      </c>
      <c r="J32" s="6">
        <v>31875</v>
      </c>
      <c r="K32" s="6">
        <v>-30672</v>
      </c>
      <c r="L32" s="6">
        <v>12747</v>
      </c>
      <c r="M32" s="6">
        <v>1053</v>
      </c>
      <c r="N32" s="4">
        <v>0</v>
      </c>
      <c r="O32" s="6">
        <v>98188</v>
      </c>
      <c r="P32" s="4">
        <v>323</v>
      </c>
      <c r="Q32" s="6">
        <v>33501</v>
      </c>
      <c r="R32" s="16">
        <v>0</v>
      </c>
      <c r="S32" s="4">
        <v>72</v>
      </c>
      <c r="T32" s="4">
        <v>432</v>
      </c>
      <c r="U32" s="4">
        <v>112</v>
      </c>
      <c r="V32" s="4">
        <v>7</v>
      </c>
      <c r="W32" s="16">
        <v>85</v>
      </c>
      <c r="X32" s="4">
        <v>45</v>
      </c>
      <c r="Y32" s="4">
        <v>131</v>
      </c>
      <c r="Z32" s="6">
        <v>18634</v>
      </c>
      <c r="AA32" s="4">
        <v>38</v>
      </c>
      <c r="AB32" s="16">
        <v>48</v>
      </c>
      <c r="AC32" s="6">
        <v>2727</v>
      </c>
      <c r="AD32" s="4">
        <v>281</v>
      </c>
      <c r="AE32" s="4">
        <v>279</v>
      </c>
      <c r="AF32" s="4">
        <v>128</v>
      </c>
      <c r="AG32" s="16">
        <v>65</v>
      </c>
      <c r="AH32" s="4">
        <v>139</v>
      </c>
      <c r="AI32" s="4">
        <v>880</v>
      </c>
      <c r="AJ32" s="4">
        <v>36</v>
      </c>
      <c r="AK32" s="4">
        <v>709</v>
      </c>
      <c r="AL32" s="16">
        <v>709</v>
      </c>
      <c r="AM32" s="6">
        <v>205015</v>
      </c>
      <c r="AN32" s="6">
        <v>2172</v>
      </c>
      <c r="AO32" s="4">
        <v>29</v>
      </c>
      <c r="AP32" s="4">
        <v>65</v>
      </c>
      <c r="AQ32" s="4">
        <v>511</v>
      </c>
    </row>
    <row r="33" spans="1:43" x14ac:dyDescent="0.25">
      <c r="A33" s="5" t="s">
        <v>172</v>
      </c>
      <c r="B33" s="6">
        <v>-21176</v>
      </c>
      <c r="C33" s="6">
        <v>21176</v>
      </c>
      <c r="D33" s="6">
        <v>-8978</v>
      </c>
      <c r="E33" s="6">
        <v>8978</v>
      </c>
      <c r="F33" s="6">
        <v>-2364</v>
      </c>
      <c r="G33" s="6">
        <v>2364</v>
      </c>
      <c r="H33" s="16">
        <v>0</v>
      </c>
      <c r="I33" s="4">
        <v>0</v>
      </c>
      <c r="J33" s="4">
        <v>0</v>
      </c>
      <c r="K33" s="4">
        <v>0</v>
      </c>
      <c r="L33" s="4">
        <v>0</v>
      </c>
      <c r="M33" s="16">
        <v>0</v>
      </c>
      <c r="N33" s="4">
        <v>0</v>
      </c>
      <c r="O33" s="6">
        <v>-5309</v>
      </c>
      <c r="P33" s="4">
        <v>0</v>
      </c>
      <c r="Q33" s="6">
        <v>-1039</v>
      </c>
      <c r="R33" s="16">
        <v>0</v>
      </c>
      <c r="S33" s="4">
        <v>0</v>
      </c>
      <c r="T33" s="4">
        <v>0</v>
      </c>
      <c r="U33" s="4">
        <v>0</v>
      </c>
      <c r="V33" s="4"/>
      <c r="W33" s="4"/>
      <c r="X33" s="16">
        <v>0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16">
        <v>0</v>
      </c>
    </row>
    <row r="34" spans="1:43" x14ac:dyDescent="0.25">
      <c r="A34" s="5" t="s">
        <v>173</v>
      </c>
      <c r="B34" s="4">
        <v>0</v>
      </c>
      <c r="C34" s="4">
        <v>0</v>
      </c>
      <c r="D34" s="4">
        <v>0</v>
      </c>
      <c r="E34" s="6">
        <v>-12769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/>
      <c r="W34" s="4"/>
      <c r="X34" s="4">
        <v>0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>
        <v>0</v>
      </c>
    </row>
    <row r="35" spans="1:43" x14ac:dyDescent="0.25">
      <c r="A35" s="5" t="s">
        <v>174</v>
      </c>
      <c r="B35" s="16">
        <v>0</v>
      </c>
      <c r="C35" s="6">
        <v>2320</v>
      </c>
      <c r="D35" s="6">
        <v>-2320</v>
      </c>
      <c r="E35" s="6">
        <v>8662</v>
      </c>
      <c r="F35" s="4">
        <v>0</v>
      </c>
      <c r="G35" s="6">
        <v>42746</v>
      </c>
      <c r="H35" s="16">
        <v>0</v>
      </c>
      <c r="I35" s="4">
        <v>0</v>
      </c>
      <c r="J35" s="4">
        <v>0</v>
      </c>
      <c r="K35" s="4">
        <v>0</v>
      </c>
      <c r="L35" s="4">
        <v>0</v>
      </c>
      <c r="M35" s="16">
        <v>0</v>
      </c>
      <c r="N35" s="4">
        <v>0</v>
      </c>
      <c r="O35" s="4">
        <v>0</v>
      </c>
      <c r="P35" s="6">
        <v>25100</v>
      </c>
      <c r="Q35" s="4">
        <v>0</v>
      </c>
      <c r="R35" s="16">
        <v>0</v>
      </c>
      <c r="S35" s="4">
        <v>0</v>
      </c>
      <c r="T35" s="6">
        <v>11533</v>
      </c>
      <c r="U35" s="6">
        <v>15470</v>
      </c>
      <c r="V35" s="4"/>
      <c r="W35" s="4"/>
      <c r="X35" s="16">
        <v>0</v>
      </c>
      <c r="Y35" s="6">
        <v>24026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16">
        <v>0</v>
      </c>
    </row>
    <row r="36" spans="1:43" x14ac:dyDescent="0.25">
      <c r="A36" s="5" t="s">
        <v>175</v>
      </c>
      <c r="B36" s="16">
        <v>0</v>
      </c>
      <c r="C36" s="4">
        <v>0</v>
      </c>
      <c r="D36" s="4">
        <v>0</v>
      </c>
      <c r="E36" s="6">
        <v>0</v>
      </c>
      <c r="F36" s="4">
        <v>0</v>
      </c>
      <c r="G36" s="4">
        <v>0</v>
      </c>
      <c r="H36" s="16">
        <v>0</v>
      </c>
      <c r="I36" s="4">
        <v>0</v>
      </c>
      <c r="J36" s="4">
        <v>0</v>
      </c>
      <c r="K36" s="4">
        <v>0</v>
      </c>
      <c r="L36" s="4">
        <v>0</v>
      </c>
      <c r="M36" s="16">
        <v>0</v>
      </c>
      <c r="N36" s="4">
        <v>0</v>
      </c>
      <c r="O36" s="4">
        <v>0</v>
      </c>
      <c r="P36" s="6">
        <v>-16378</v>
      </c>
      <c r="Q36" s="4">
        <v>5</v>
      </c>
      <c r="R36" s="16">
        <v>0</v>
      </c>
      <c r="S36" s="4">
        <v>0</v>
      </c>
      <c r="T36" s="4">
        <v>0</v>
      </c>
      <c r="U36" s="4">
        <v>0</v>
      </c>
      <c r="V36" s="4"/>
      <c r="W36" s="4"/>
      <c r="X36" s="16">
        <v>0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16">
        <v>0</v>
      </c>
    </row>
    <row r="37" spans="1:43" x14ac:dyDescent="0.25">
      <c r="A37" s="5" t="s">
        <v>176</v>
      </c>
      <c r="B37" s="6">
        <v>-21060</v>
      </c>
      <c r="C37" s="6">
        <v>4220</v>
      </c>
      <c r="D37" s="6">
        <v>8312</v>
      </c>
      <c r="E37" s="6">
        <v>8528</v>
      </c>
      <c r="F37" s="6">
        <v>-22474</v>
      </c>
      <c r="G37" s="6">
        <v>22474</v>
      </c>
      <c r="H37" s="16">
        <v>0</v>
      </c>
      <c r="I37" s="4">
        <v>0</v>
      </c>
      <c r="J37" s="4">
        <v>0</v>
      </c>
      <c r="K37" s="4">
        <v>0</v>
      </c>
      <c r="L37" s="4">
        <v>0</v>
      </c>
      <c r="M37" s="16">
        <v>0</v>
      </c>
      <c r="N37" s="4">
        <v>0</v>
      </c>
      <c r="O37" s="4">
        <v>0</v>
      </c>
      <c r="P37" s="4">
        <v>0</v>
      </c>
      <c r="Q37" s="4">
        <v>0</v>
      </c>
      <c r="R37" s="16">
        <v>0</v>
      </c>
      <c r="S37" s="4">
        <v>0</v>
      </c>
      <c r="T37" s="4">
        <v>0</v>
      </c>
      <c r="U37" s="4">
        <v>0</v>
      </c>
      <c r="V37" s="4"/>
      <c r="W37" s="4"/>
      <c r="X37" s="16">
        <v>0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6">
        <v>-657639</v>
      </c>
      <c r="AJ37" s="4">
        <v>0</v>
      </c>
      <c r="AK37" s="6">
        <v>657639</v>
      </c>
      <c r="AL37" s="4"/>
      <c r="AM37" s="4"/>
      <c r="AN37" s="4"/>
      <c r="AO37" s="4"/>
      <c r="AP37" s="4"/>
      <c r="AQ37" s="6">
        <v>-7735644</v>
      </c>
    </row>
    <row r="38" spans="1:43" x14ac:dyDescent="0.25">
      <c r="A38" s="5" t="s">
        <v>177</v>
      </c>
      <c r="B38" s="6">
        <v>4761</v>
      </c>
      <c r="C38" s="6">
        <v>-4761</v>
      </c>
      <c r="D38" s="6">
        <v>28348</v>
      </c>
      <c r="E38" s="6">
        <v>54724</v>
      </c>
      <c r="F38" s="6">
        <v>82026</v>
      </c>
      <c r="G38" s="6">
        <v>-71739</v>
      </c>
      <c r="H38" s="6">
        <v>2240</v>
      </c>
      <c r="I38" s="6">
        <v>-6669</v>
      </c>
      <c r="J38" s="6">
        <v>2730</v>
      </c>
      <c r="K38" s="4">
        <v>806</v>
      </c>
      <c r="L38" s="4">
        <v>0</v>
      </c>
      <c r="M38" s="6">
        <v>62260</v>
      </c>
      <c r="N38" s="4">
        <v>0</v>
      </c>
      <c r="O38" s="4">
        <v>0</v>
      </c>
      <c r="P38" s="4">
        <v>0</v>
      </c>
      <c r="Q38" s="4">
        <v>0</v>
      </c>
      <c r="R38" s="16">
        <v>0</v>
      </c>
      <c r="S38" s="4">
        <v>0</v>
      </c>
      <c r="T38" s="4">
        <v>0</v>
      </c>
      <c r="U38" s="4">
        <v>0</v>
      </c>
      <c r="V38" s="4"/>
      <c r="W38" s="6">
        <v>18696</v>
      </c>
      <c r="X38" s="6">
        <v>15402</v>
      </c>
      <c r="Y38" s="6">
        <v>17677</v>
      </c>
      <c r="Z38" s="4">
        <v>500</v>
      </c>
      <c r="AA38" s="4">
        <v>0</v>
      </c>
      <c r="AB38" s="16">
        <v>0</v>
      </c>
      <c r="AC38" s="4"/>
      <c r="AD38" s="4"/>
      <c r="AE38" s="4"/>
      <c r="AF38" s="4"/>
      <c r="AG38" s="4"/>
      <c r="AH38" s="4"/>
      <c r="AI38" s="6">
        <v>14375</v>
      </c>
      <c r="AJ38" s="4">
        <v>0</v>
      </c>
      <c r="AK38" s="6">
        <v>-672450</v>
      </c>
      <c r="AL38" s="6">
        <v>11880</v>
      </c>
      <c r="AM38" s="4">
        <v>0</v>
      </c>
      <c r="AN38" s="4"/>
      <c r="AO38" s="4"/>
      <c r="AP38" s="4"/>
      <c r="AQ38" s="4">
        <v>0</v>
      </c>
    </row>
    <row r="39" spans="1:43" x14ac:dyDescent="0.25">
      <c r="A39" s="5" t="s">
        <v>178</v>
      </c>
      <c r="B39" s="16">
        <v>454</v>
      </c>
      <c r="C39" s="6">
        <v>3021</v>
      </c>
      <c r="D39" s="6">
        <v>149344</v>
      </c>
      <c r="E39" s="6">
        <v>-140534</v>
      </c>
      <c r="F39" s="6">
        <v>1052</v>
      </c>
      <c r="G39" s="6">
        <v>15714</v>
      </c>
      <c r="H39" s="6">
        <v>26865</v>
      </c>
      <c r="I39" s="6">
        <v>150250</v>
      </c>
      <c r="J39" s="6">
        <v>22431</v>
      </c>
      <c r="K39" s="6">
        <v>26111</v>
      </c>
      <c r="L39" s="6">
        <v>53618</v>
      </c>
      <c r="M39" s="16">
        <v>0</v>
      </c>
      <c r="N39" s="4">
        <v>0</v>
      </c>
      <c r="O39" s="6">
        <v>27069</v>
      </c>
      <c r="P39" s="4">
        <v>0</v>
      </c>
      <c r="Q39" s="4">
        <v>0</v>
      </c>
      <c r="R39" s="16">
        <v>0</v>
      </c>
      <c r="S39" s="4">
        <v>260</v>
      </c>
      <c r="T39" s="4">
        <v>0</v>
      </c>
      <c r="U39" s="4">
        <v>0</v>
      </c>
      <c r="V39" s="4"/>
      <c r="W39" s="4"/>
      <c r="X39" s="16">
        <v>0</v>
      </c>
      <c r="Y39" s="4"/>
      <c r="Z39" s="6">
        <v>17535</v>
      </c>
      <c r="AA39" s="6">
        <v>4534</v>
      </c>
      <c r="AB39" s="16">
        <v>0</v>
      </c>
      <c r="AC39" s="4"/>
      <c r="AD39" s="6">
        <v>5224</v>
      </c>
      <c r="AE39" s="4">
        <v>0</v>
      </c>
      <c r="AF39" s="6">
        <v>4101</v>
      </c>
      <c r="AG39" s="16">
        <v>0</v>
      </c>
      <c r="AH39" s="4"/>
      <c r="AI39" s="4"/>
      <c r="AJ39" s="4"/>
      <c r="AK39" s="6">
        <v>17375</v>
      </c>
      <c r="AL39" s="4"/>
      <c r="AM39" s="6">
        <v>4896</v>
      </c>
      <c r="AN39" s="4"/>
      <c r="AO39" s="6">
        <v>3625</v>
      </c>
      <c r="AP39" s="6">
        <v>4329</v>
      </c>
      <c r="AQ39" s="6">
        <v>1352</v>
      </c>
    </row>
    <row r="40" spans="1:43" x14ac:dyDescent="0.25">
      <c r="A40" s="5" t="s">
        <v>179</v>
      </c>
      <c r="B40" s="6">
        <v>-31020</v>
      </c>
      <c r="C40" s="6">
        <v>11216</v>
      </c>
      <c r="D40" s="6">
        <v>145718</v>
      </c>
      <c r="E40" s="6">
        <v>-277738</v>
      </c>
      <c r="F40" s="6">
        <v>60748</v>
      </c>
      <c r="G40" s="6">
        <v>-7796</v>
      </c>
      <c r="H40" s="6">
        <v>14312</v>
      </c>
      <c r="I40" s="6">
        <v>-92326</v>
      </c>
      <c r="J40" s="6">
        <v>36719</v>
      </c>
      <c r="K40" s="6">
        <v>-47450</v>
      </c>
      <c r="L40" s="4">
        <v>-258</v>
      </c>
      <c r="M40" s="6">
        <v>109448</v>
      </c>
      <c r="N40" s="6">
        <v>-42403</v>
      </c>
      <c r="O40" s="6">
        <v>74400</v>
      </c>
      <c r="P40" s="6">
        <v>-16505</v>
      </c>
      <c r="Q40" s="6">
        <v>-37227</v>
      </c>
      <c r="R40" s="6">
        <v>-97381</v>
      </c>
      <c r="S40" s="4">
        <v>384</v>
      </c>
      <c r="T40" s="6">
        <v>-115878</v>
      </c>
      <c r="U40" s="6">
        <v>-42011</v>
      </c>
      <c r="V40" s="6">
        <v>-155115</v>
      </c>
      <c r="W40" s="6">
        <v>-8225</v>
      </c>
      <c r="X40" s="6">
        <v>-35112</v>
      </c>
      <c r="Y40" s="6">
        <v>-79379</v>
      </c>
      <c r="Z40" s="6">
        <v>30475</v>
      </c>
      <c r="AA40" s="6">
        <v>-3476</v>
      </c>
      <c r="AB40" s="6">
        <v>-52716</v>
      </c>
      <c r="AC40" s="6">
        <v>-52268</v>
      </c>
      <c r="AD40" s="6">
        <v>-19523</v>
      </c>
      <c r="AE40" s="6">
        <v>-53971</v>
      </c>
      <c r="AF40" s="6">
        <v>-52426</v>
      </c>
      <c r="AG40" s="6">
        <v>-137925</v>
      </c>
      <c r="AH40" s="6">
        <v>-112067</v>
      </c>
      <c r="AI40" s="6">
        <v>-737702</v>
      </c>
      <c r="AJ40" s="6">
        <v>-178593</v>
      </c>
      <c r="AK40" s="6">
        <v>-151722</v>
      </c>
      <c r="AL40" s="6">
        <v>-28813</v>
      </c>
      <c r="AM40" s="6">
        <v>139892</v>
      </c>
      <c r="AN40" s="6">
        <v>-61062</v>
      </c>
      <c r="AO40" s="6">
        <v>-172029</v>
      </c>
      <c r="AP40" s="6">
        <v>-64260</v>
      </c>
      <c r="AQ40" s="6">
        <v>-7778599</v>
      </c>
    </row>
    <row r="41" spans="1:43" x14ac:dyDescent="0.25">
      <c r="A41" s="3" t="s">
        <v>180</v>
      </c>
      <c r="B41" s="4"/>
      <c r="C41" s="4"/>
      <c r="D41" s="4"/>
      <c r="E41" s="6">
        <v>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x14ac:dyDescent="0.25">
      <c r="A42" s="5" t="s">
        <v>181</v>
      </c>
      <c r="B42" s="4">
        <v>0</v>
      </c>
      <c r="C42" s="4">
        <v>0</v>
      </c>
      <c r="D42" s="4">
        <v>0</v>
      </c>
      <c r="E42" s="6">
        <v>0</v>
      </c>
      <c r="F42" s="4">
        <v>0</v>
      </c>
      <c r="G42" s="4">
        <v>0</v>
      </c>
      <c r="H42" s="4">
        <v>0</v>
      </c>
      <c r="I42" s="6">
        <v>3018656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/>
      <c r="W42" s="4"/>
      <c r="X42" s="4">
        <v>0</v>
      </c>
      <c r="Y42" s="4"/>
      <c r="Z42" s="4"/>
      <c r="AA42" s="6">
        <v>200000</v>
      </c>
      <c r="AB42" s="4">
        <v>0</v>
      </c>
      <c r="AC42" s="4"/>
      <c r="AD42" s="4"/>
      <c r="AE42" s="4"/>
      <c r="AF42" s="4"/>
      <c r="AG42" s="4"/>
      <c r="AH42" s="4"/>
      <c r="AI42" s="4"/>
      <c r="AJ42" s="4"/>
      <c r="AK42" s="6">
        <v>200000</v>
      </c>
      <c r="AL42" s="4"/>
      <c r="AM42" s="4"/>
      <c r="AN42" s="4"/>
      <c r="AO42" s="6">
        <v>4179573</v>
      </c>
      <c r="AP42" s="4"/>
      <c r="AQ42" s="4">
        <v>0</v>
      </c>
    </row>
    <row r="43" spans="1:43" x14ac:dyDescent="0.25">
      <c r="A43" s="5" t="s">
        <v>182</v>
      </c>
      <c r="B43" s="4">
        <v>0</v>
      </c>
      <c r="C43" s="4">
        <v>0</v>
      </c>
      <c r="D43" s="4">
        <v>0</v>
      </c>
      <c r="E43" s="6">
        <v>4080000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/>
      <c r="W43" s="4"/>
      <c r="X43" s="4">
        <v>0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6">
        <v>8531600</v>
      </c>
      <c r="AO43" s="6">
        <v>2900000</v>
      </c>
      <c r="AP43" s="6">
        <v>4695450</v>
      </c>
      <c r="AQ43" s="6">
        <v>606200</v>
      </c>
    </row>
    <row r="44" spans="1:43" x14ac:dyDescent="0.25">
      <c r="A44" s="5" t="s">
        <v>183</v>
      </c>
      <c r="B44" s="4">
        <v>0</v>
      </c>
      <c r="C44" s="4">
        <v>0</v>
      </c>
      <c r="D44" s="4">
        <v>0</v>
      </c>
      <c r="E44" s="6">
        <v>-970000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/>
      <c r="W44" s="4"/>
      <c r="X44" s="4">
        <v>0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6">
        <v>-3908058</v>
      </c>
      <c r="AO44" s="6">
        <v>-4344965</v>
      </c>
      <c r="AP44" s="6">
        <v>-3263365</v>
      </c>
      <c r="AQ44" s="6">
        <v>-1447171</v>
      </c>
    </row>
    <row r="45" spans="1:43" x14ac:dyDescent="0.25">
      <c r="A45" s="5" t="s">
        <v>184</v>
      </c>
      <c r="B45" s="16">
        <v>0</v>
      </c>
      <c r="C45" s="6">
        <v>-809987</v>
      </c>
      <c r="D45" s="4">
        <v>11</v>
      </c>
      <c r="E45" s="6">
        <v>-11</v>
      </c>
      <c r="F45" s="4">
        <v>0</v>
      </c>
      <c r="G45" s="4">
        <v>0</v>
      </c>
      <c r="H45" s="6">
        <v>-150000</v>
      </c>
      <c r="I45" s="6">
        <v>150000</v>
      </c>
      <c r="J45" s="4">
        <v>0</v>
      </c>
      <c r="K45" s="4">
        <v>0</v>
      </c>
      <c r="L45" s="6">
        <v>-1275300</v>
      </c>
      <c r="M45" s="6">
        <v>-150000</v>
      </c>
      <c r="N45" s="4">
        <v>0</v>
      </c>
      <c r="O45" s="4">
        <v>0</v>
      </c>
      <c r="P45" s="4">
        <v>0</v>
      </c>
      <c r="Q45" s="4">
        <v>0</v>
      </c>
      <c r="R45" s="16">
        <v>0</v>
      </c>
      <c r="S45" s="4">
        <v>0</v>
      </c>
      <c r="T45" s="4">
        <v>0</v>
      </c>
      <c r="U45" s="4">
        <v>0</v>
      </c>
      <c r="V45" s="4"/>
      <c r="W45" s="4"/>
      <c r="X45" s="16">
        <v>0</v>
      </c>
      <c r="Y45" s="4"/>
      <c r="Z45" s="4"/>
      <c r="AA45" s="4"/>
      <c r="AB45" s="4"/>
      <c r="AC45" s="4"/>
      <c r="AD45" s="4"/>
      <c r="AE45" s="6">
        <v>-2515261</v>
      </c>
      <c r="AF45" s="4">
        <v>0</v>
      </c>
      <c r="AG45" s="16">
        <v>0</v>
      </c>
      <c r="AH45" s="4"/>
      <c r="AI45" s="4"/>
      <c r="AJ45" s="6">
        <v>-2912551</v>
      </c>
      <c r="AK45" s="4">
        <v>0</v>
      </c>
      <c r="AL45" s="4"/>
      <c r="AM45" s="4"/>
      <c r="AN45" s="4"/>
      <c r="AO45" s="4"/>
      <c r="AP45" s="4"/>
      <c r="AQ45" s="16">
        <v>0</v>
      </c>
    </row>
    <row r="46" spans="1:43" x14ac:dyDescent="0.25">
      <c r="A46" s="5" t="s">
        <v>185</v>
      </c>
      <c r="B46" s="4">
        <v>0</v>
      </c>
      <c r="C46" s="4">
        <v>0</v>
      </c>
      <c r="D46" s="4">
        <v>0</v>
      </c>
      <c r="E46" s="6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6">
        <v>-158927</v>
      </c>
      <c r="R46" s="6">
        <v>-344668</v>
      </c>
      <c r="S46" s="4">
        <v>-56</v>
      </c>
      <c r="T46" s="4">
        <v>1</v>
      </c>
      <c r="U46" s="4">
        <v>-28</v>
      </c>
      <c r="V46" s="4"/>
      <c r="W46" s="4"/>
      <c r="X46" s="4">
        <v>0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>
        <v>0</v>
      </c>
    </row>
    <row r="47" spans="1:43" x14ac:dyDescent="0.25">
      <c r="A47" s="5" t="s">
        <v>186</v>
      </c>
      <c r="B47" s="4">
        <v>0</v>
      </c>
      <c r="C47" s="4">
        <v>0</v>
      </c>
      <c r="D47" s="4">
        <v>0</v>
      </c>
      <c r="E47" s="6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6">
        <v>32915</v>
      </c>
      <c r="S47" s="4">
        <v>-99</v>
      </c>
      <c r="T47" s="4">
        <v>0</v>
      </c>
      <c r="U47" s="4">
        <v>0</v>
      </c>
      <c r="V47" s="4"/>
      <c r="W47" s="4"/>
      <c r="X47" s="4">
        <v>0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6">
        <v>465528</v>
      </c>
      <c r="AP47" s="4"/>
      <c r="AQ47" s="4">
        <v>0</v>
      </c>
    </row>
    <row r="48" spans="1:43" x14ac:dyDescent="0.25">
      <c r="A48" s="5" t="s">
        <v>187</v>
      </c>
      <c r="B48" s="4">
        <v>0</v>
      </c>
      <c r="C48" s="6">
        <v>-809987</v>
      </c>
      <c r="D48" s="4">
        <v>11</v>
      </c>
      <c r="E48" s="6">
        <v>3109989</v>
      </c>
      <c r="F48" s="4">
        <v>0</v>
      </c>
      <c r="G48" s="4">
        <v>0</v>
      </c>
      <c r="H48" s="6">
        <v>-150000</v>
      </c>
      <c r="I48" s="6">
        <v>3168656</v>
      </c>
      <c r="J48" s="4">
        <v>0</v>
      </c>
      <c r="K48" s="4">
        <v>0</v>
      </c>
      <c r="L48" s="6">
        <v>-1275300</v>
      </c>
      <c r="M48" s="6">
        <v>-150000</v>
      </c>
      <c r="N48" s="4">
        <v>0</v>
      </c>
      <c r="O48" s="4">
        <v>0</v>
      </c>
      <c r="P48" s="4">
        <v>0</v>
      </c>
      <c r="Q48" s="6">
        <v>-158927</v>
      </c>
      <c r="R48" s="6">
        <v>-311753</v>
      </c>
      <c r="S48" s="4">
        <v>-155</v>
      </c>
      <c r="T48" s="4">
        <v>1</v>
      </c>
      <c r="U48" s="4">
        <v>-28</v>
      </c>
      <c r="V48" s="4"/>
      <c r="W48" s="4"/>
      <c r="X48" s="4">
        <v>0</v>
      </c>
      <c r="Y48" s="4"/>
      <c r="Z48" s="4"/>
      <c r="AA48" s="6">
        <v>200000</v>
      </c>
      <c r="AB48" s="4">
        <v>0</v>
      </c>
      <c r="AC48" s="4"/>
      <c r="AD48" s="4"/>
      <c r="AE48" s="6">
        <v>-2515261</v>
      </c>
      <c r="AF48" s="4">
        <v>0</v>
      </c>
      <c r="AG48" s="4">
        <v>0</v>
      </c>
      <c r="AH48" s="4"/>
      <c r="AI48" s="4"/>
      <c r="AJ48" s="6">
        <v>-2912551</v>
      </c>
      <c r="AK48" s="6">
        <v>200000</v>
      </c>
      <c r="AL48" s="4"/>
      <c r="AM48" s="4"/>
      <c r="AN48" s="6">
        <v>4623542</v>
      </c>
      <c r="AO48" s="6">
        <v>3200136</v>
      </c>
      <c r="AP48" s="6">
        <v>1432085</v>
      </c>
      <c r="AQ48" s="6">
        <v>-840971</v>
      </c>
    </row>
    <row r="49" spans="1:43" x14ac:dyDescent="0.25">
      <c r="A49" s="13" t="s">
        <v>188</v>
      </c>
      <c r="B49" s="6">
        <v>2887948</v>
      </c>
      <c r="C49" s="6">
        <v>-241170</v>
      </c>
      <c r="D49" s="6">
        <v>1966476</v>
      </c>
      <c r="E49" s="6">
        <v>3923043</v>
      </c>
      <c r="F49" s="6">
        <v>4240543</v>
      </c>
      <c r="G49" s="6">
        <v>2825494</v>
      </c>
      <c r="H49" s="6">
        <v>-5258985</v>
      </c>
      <c r="I49" s="6">
        <v>776644</v>
      </c>
      <c r="J49" s="6">
        <v>-1626570</v>
      </c>
      <c r="K49" s="6">
        <v>5419745</v>
      </c>
      <c r="L49" s="6">
        <v>-1683875</v>
      </c>
      <c r="M49" s="6">
        <v>12158807</v>
      </c>
      <c r="N49" s="6">
        <v>-16001193</v>
      </c>
      <c r="O49" s="6">
        <v>213182</v>
      </c>
      <c r="P49" s="6">
        <v>4895915</v>
      </c>
      <c r="Q49" s="6">
        <v>1797915</v>
      </c>
      <c r="R49" s="6">
        <v>-7877514</v>
      </c>
      <c r="S49" s="6">
        <v>6313690</v>
      </c>
      <c r="T49" s="6">
        <v>10724090</v>
      </c>
      <c r="U49" s="6">
        <v>15233055</v>
      </c>
      <c r="V49" s="6">
        <v>3625512</v>
      </c>
      <c r="W49" s="6">
        <v>-2582497</v>
      </c>
      <c r="X49" s="6">
        <v>7198131</v>
      </c>
      <c r="Y49" s="6">
        <v>7133442</v>
      </c>
      <c r="Z49" s="6">
        <v>-8636729</v>
      </c>
      <c r="AA49" s="6">
        <v>-7624397</v>
      </c>
      <c r="AB49" s="6">
        <v>6413722</v>
      </c>
      <c r="AC49" s="6">
        <v>-5749659</v>
      </c>
      <c r="AD49" s="6">
        <v>8539540</v>
      </c>
      <c r="AE49" s="6">
        <v>34869406</v>
      </c>
      <c r="AF49" s="6">
        <v>-17894666</v>
      </c>
      <c r="AG49" s="6">
        <v>52363661</v>
      </c>
      <c r="AH49" s="6">
        <v>-27752704</v>
      </c>
      <c r="AI49" s="6">
        <v>13665398</v>
      </c>
      <c r="AJ49" s="6">
        <v>7493798</v>
      </c>
      <c r="AK49" s="6">
        <v>11443267</v>
      </c>
      <c r="AL49" s="6">
        <v>2335958</v>
      </c>
      <c r="AM49" s="6">
        <v>-1538633</v>
      </c>
      <c r="AN49" s="6">
        <v>30591677</v>
      </c>
      <c r="AO49" s="6">
        <v>51724054</v>
      </c>
      <c r="AP49" s="6">
        <v>1098974</v>
      </c>
      <c r="AQ49" s="6">
        <v>-29923110</v>
      </c>
    </row>
    <row r="50" spans="1:43" x14ac:dyDescent="0.25">
      <c r="A50" s="13" t="s">
        <v>189</v>
      </c>
      <c r="B50" s="6">
        <v>14069062</v>
      </c>
      <c r="C50" s="6">
        <v>16957010</v>
      </c>
      <c r="D50" s="6">
        <v>16720368</v>
      </c>
      <c r="E50" s="6">
        <v>18668274</v>
      </c>
      <c r="F50" s="6">
        <v>22605358</v>
      </c>
      <c r="G50" s="6">
        <v>26843770</v>
      </c>
      <c r="H50" s="6">
        <v>29667386</v>
      </c>
      <c r="I50" s="6">
        <v>24375456</v>
      </c>
      <c r="J50" s="6">
        <v>25189053</v>
      </c>
      <c r="K50" s="6">
        <v>23600089</v>
      </c>
      <c r="L50" s="6">
        <v>28999872</v>
      </c>
      <c r="M50" s="6">
        <v>27314977</v>
      </c>
      <c r="N50" s="6">
        <v>39457161</v>
      </c>
      <c r="O50" s="6">
        <v>23464025</v>
      </c>
      <c r="P50" s="6">
        <v>23676394</v>
      </c>
      <c r="Q50" s="6">
        <v>28574156</v>
      </c>
      <c r="R50" s="6">
        <v>30362980</v>
      </c>
      <c r="S50" s="6">
        <v>22504836</v>
      </c>
      <c r="T50" s="6">
        <v>28814315</v>
      </c>
      <c r="U50" s="6">
        <v>39551041</v>
      </c>
      <c r="V50" s="6">
        <v>54756301</v>
      </c>
      <c r="W50" s="6">
        <v>58411736</v>
      </c>
      <c r="X50" s="6">
        <v>55837268</v>
      </c>
      <c r="Y50" s="6">
        <v>63062033</v>
      </c>
      <c r="Z50" s="6">
        <v>70130889</v>
      </c>
      <c r="AA50" s="6">
        <v>61507953</v>
      </c>
      <c r="AB50" s="6">
        <v>53855970</v>
      </c>
      <c r="AC50" s="6">
        <v>60246167</v>
      </c>
      <c r="AD50" s="6">
        <v>54533826</v>
      </c>
      <c r="AE50" s="6">
        <v>63092329</v>
      </c>
      <c r="AF50" s="6">
        <v>97958806</v>
      </c>
      <c r="AG50" s="6">
        <v>80105426</v>
      </c>
      <c r="AH50" s="6">
        <v>132411767</v>
      </c>
      <c r="AI50" s="6">
        <v>104746444</v>
      </c>
      <c r="AJ50" s="6">
        <v>118296318</v>
      </c>
      <c r="AK50" s="6">
        <v>125917015</v>
      </c>
      <c r="AL50" s="6">
        <v>137261526</v>
      </c>
      <c r="AM50" s="6">
        <v>139628360</v>
      </c>
      <c r="AN50" s="6">
        <v>138031874</v>
      </c>
      <c r="AO50" s="6">
        <v>168657364</v>
      </c>
      <c r="AP50" s="6">
        <v>220374582</v>
      </c>
      <c r="AQ50" s="6">
        <v>221481719</v>
      </c>
    </row>
    <row r="51" spans="1:43" x14ac:dyDescent="0.25">
      <c r="A51" s="13" t="s">
        <v>190</v>
      </c>
      <c r="B51" s="4">
        <v>0</v>
      </c>
      <c r="C51" s="6">
        <v>4528</v>
      </c>
      <c r="D51" s="6">
        <v>-18570</v>
      </c>
      <c r="E51" s="6">
        <v>14042</v>
      </c>
      <c r="F51" s="6">
        <v>-2131</v>
      </c>
      <c r="G51" s="6">
        <v>-1878</v>
      </c>
      <c r="H51" s="6">
        <v>-32945</v>
      </c>
      <c r="I51" s="6">
        <v>36954</v>
      </c>
      <c r="J51" s="6">
        <v>37606</v>
      </c>
      <c r="K51" s="6">
        <v>-19962</v>
      </c>
      <c r="L51" s="6">
        <v>-1020</v>
      </c>
      <c r="M51" s="6">
        <v>-16623</v>
      </c>
      <c r="N51" s="6">
        <v>8057</v>
      </c>
      <c r="O51" s="4">
        <v>-813</v>
      </c>
      <c r="P51" s="6">
        <v>1847</v>
      </c>
      <c r="Q51" s="6">
        <v>-9091</v>
      </c>
      <c r="R51" s="6">
        <v>19370</v>
      </c>
      <c r="S51" s="6">
        <v>-4211</v>
      </c>
      <c r="T51" s="6">
        <v>12636</v>
      </c>
      <c r="U51" s="6">
        <v>-27795</v>
      </c>
      <c r="V51" s="6">
        <v>29923</v>
      </c>
      <c r="W51" s="6">
        <v>8029</v>
      </c>
      <c r="X51" s="6">
        <v>26634</v>
      </c>
      <c r="Y51" s="6">
        <v>-64586</v>
      </c>
      <c r="Z51" s="6">
        <v>13793</v>
      </c>
      <c r="AA51" s="6">
        <v>-27586</v>
      </c>
      <c r="AB51" s="6">
        <v>-23525</v>
      </c>
      <c r="AC51" s="6">
        <v>37318</v>
      </c>
      <c r="AD51" s="6">
        <v>18963</v>
      </c>
      <c r="AE51" s="6">
        <v>-2929</v>
      </c>
      <c r="AF51" s="6">
        <v>41286</v>
      </c>
      <c r="AG51" s="6">
        <v>-57320</v>
      </c>
      <c r="AH51" s="6">
        <v>87381</v>
      </c>
      <c r="AI51" s="6">
        <v>-115524</v>
      </c>
      <c r="AJ51" s="6">
        <v>126899</v>
      </c>
      <c r="AK51" s="6">
        <v>-98756</v>
      </c>
      <c r="AL51" s="6">
        <v>30876</v>
      </c>
      <c r="AM51" s="6">
        <v>-57853</v>
      </c>
      <c r="AN51" s="6">
        <v>33813</v>
      </c>
      <c r="AO51" s="6">
        <v>-6836</v>
      </c>
      <c r="AP51" s="6">
        <v>8163</v>
      </c>
      <c r="AQ51" s="6">
        <v>-19836</v>
      </c>
    </row>
    <row r="52" spans="1:43" x14ac:dyDescent="0.25">
      <c r="A52" s="13" t="s">
        <v>191</v>
      </c>
      <c r="B52" s="6">
        <v>16957010</v>
      </c>
      <c r="C52" s="6">
        <v>16720368</v>
      </c>
      <c r="D52" s="6">
        <v>18668274</v>
      </c>
      <c r="E52" s="6">
        <v>22605359</v>
      </c>
      <c r="F52" s="6">
        <v>26843770</v>
      </c>
      <c r="G52" s="6">
        <v>29667386</v>
      </c>
      <c r="H52" s="6">
        <v>24375456</v>
      </c>
      <c r="I52" s="6">
        <v>25189053</v>
      </c>
      <c r="J52" s="6">
        <v>23600089</v>
      </c>
      <c r="K52" s="6">
        <v>28999872</v>
      </c>
      <c r="L52" s="6">
        <v>27314977</v>
      </c>
      <c r="M52" s="6">
        <v>39457161</v>
      </c>
      <c r="N52" s="6">
        <v>23464025</v>
      </c>
      <c r="O52" s="6">
        <v>23676394</v>
      </c>
      <c r="P52" s="6">
        <v>28574156</v>
      </c>
      <c r="Q52" s="6">
        <v>30362980</v>
      </c>
      <c r="R52" s="6">
        <v>22504836</v>
      </c>
      <c r="S52" s="6">
        <v>28814315</v>
      </c>
      <c r="T52" s="6">
        <v>39551041</v>
      </c>
      <c r="U52" s="6">
        <v>54756301</v>
      </c>
      <c r="V52" s="6">
        <v>58411736</v>
      </c>
      <c r="W52" s="6">
        <v>55837268</v>
      </c>
      <c r="X52" s="6">
        <v>63062033</v>
      </c>
      <c r="Y52" s="6">
        <v>70130889</v>
      </c>
      <c r="Z52" s="6">
        <v>61507953</v>
      </c>
      <c r="AA52" s="6">
        <v>53855970</v>
      </c>
      <c r="AB52" s="6">
        <v>60246167</v>
      </c>
      <c r="AC52" s="6">
        <v>54533826</v>
      </c>
      <c r="AD52" s="6">
        <v>63092329</v>
      </c>
      <c r="AE52" s="6">
        <v>97958806</v>
      </c>
      <c r="AF52" s="6">
        <v>80105426</v>
      </c>
      <c r="AG52" s="6">
        <v>132411767</v>
      </c>
      <c r="AH52" s="6">
        <v>104746444</v>
      </c>
      <c r="AI52" s="6">
        <v>118296318</v>
      </c>
      <c r="AJ52" s="6">
        <v>125917015</v>
      </c>
      <c r="AK52" s="6">
        <v>137261526</v>
      </c>
      <c r="AL52" s="6">
        <v>139628360</v>
      </c>
      <c r="AM52" s="6">
        <v>138031874</v>
      </c>
      <c r="AN52" s="6">
        <v>168657364</v>
      </c>
      <c r="AO52" s="6">
        <v>220374582</v>
      </c>
      <c r="AP52" s="6">
        <v>221481719</v>
      </c>
      <c r="AQ52" s="6">
        <v>191538773</v>
      </c>
    </row>
    <row r="53" spans="1:43" x14ac:dyDescent="0.25">
      <c r="I53" s="2">
        <v>-1</v>
      </c>
    </row>
    <row r="54" spans="1:43" x14ac:dyDescent="0.25">
      <c r="B54" s="15">
        <f>B52-B49-B50-B51-B53</f>
        <v>0</v>
      </c>
      <c r="C54" s="15">
        <f t="shared" ref="C54:F54" si="0">C52-C49-C50-C51-C53</f>
        <v>0</v>
      </c>
      <c r="D54" s="15">
        <f t="shared" si="0"/>
        <v>0</v>
      </c>
      <c r="E54" s="15">
        <f>E52-E49-E50-E51-E53</f>
        <v>0</v>
      </c>
      <c r="F54" s="15">
        <f t="shared" si="0"/>
        <v>0</v>
      </c>
      <c r="G54" s="15">
        <f t="shared" ref="D54:AQ54" si="1">G52-G49-G50-G51-G53</f>
        <v>0</v>
      </c>
      <c r="H54" s="15">
        <f t="shared" si="1"/>
        <v>0</v>
      </c>
      <c r="I54" s="15">
        <f t="shared" si="1"/>
        <v>0</v>
      </c>
      <c r="J54" s="15">
        <f t="shared" si="1"/>
        <v>0</v>
      </c>
      <c r="K54" s="15">
        <f t="shared" si="1"/>
        <v>0</v>
      </c>
      <c r="L54" s="15">
        <f t="shared" si="1"/>
        <v>0</v>
      </c>
      <c r="M54" s="15">
        <f t="shared" si="1"/>
        <v>0</v>
      </c>
      <c r="N54" s="15">
        <f t="shared" si="1"/>
        <v>0</v>
      </c>
      <c r="O54" s="15">
        <f t="shared" si="1"/>
        <v>0</v>
      </c>
      <c r="P54" s="15">
        <f t="shared" si="1"/>
        <v>0</v>
      </c>
      <c r="Q54" s="15">
        <f t="shared" si="1"/>
        <v>0</v>
      </c>
      <c r="R54" s="15">
        <f t="shared" si="1"/>
        <v>0</v>
      </c>
      <c r="S54" s="15">
        <f t="shared" si="1"/>
        <v>0</v>
      </c>
      <c r="T54" s="15">
        <f t="shared" si="1"/>
        <v>0</v>
      </c>
      <c r="U54" s="15">
        <f t="shared" si="1"/>
        <v>0</v>
      </c>
      <c r="V54" s="15">
        <f t="shared" si="1"/>
        <v>0</v>
      </c>
      <c r="W54" s="15">
        <f t="shared" si="1"/>
        <v>0</v>
      </c>
      <c r="X54" s="15">
        <f t="shared" si="1"/>
        <v>0</v>
      </c>
      <c r="Y54" s="15">
        <f t="shared" si="1"/>
        <v>0</v>
      </c>
      <c r="Z54" s="15">
        <f t="shared" si="1"/>
        <v>0</v>
      </c>
      <c r="AA54" s="15">
        <f t="shared" si="1"/>
        <v>0</v>
      </c>
      <c r="AB54" s="15">
        <f t="shared" si="1"/>
        <v>0</v>
      </c>
      <c r="AC54" s="15">
        <f t="shared" si="1"/>
        <v>0</v>
      </c>
      <c r="AD54" s="15">
        <f t="shared" si="1"/>
        <v>0</v>
      </c>
      <c r="AE54" s="15">
        <f t="shared" si="1"/>
        <v>0</v>
      </c>
      <c r="AF54" s="15">
        <f t="shared" si="1"/>
        <v>0</v>
      </c>
      <c r="AG54" s="15">
        <f t="shared" si="1"/>
        <v>0</v>
      </c>
      <c r="AH54" s="15">
        <f t="shared" si="1"/>
        <v>0</v>
      </c>
      <c r="AI54" s="15">
        <f t="shared" si="1"/>
        <v>0</v>
      </c>
      <c r="AJ54" s="15">
        <f t="shared" si="1"/>
        <v>0</v>
      </c>
      <c r="AK54" s="15">
        <f t="shared" si="1"/>
        <v>0</v>
      </c>
      <c r="AL54" s="15">
        <f t="shared" si="1"/>
        <v>0</v>
      </c>
      <c r="AM54" s="15">
        <f t="shared" si="1"/>
        <v>0</v>
      </c>
      <c r="AN54" s="15">
        <f t="shared" si="1"/>
        <v>0</v>
      </c>
      <c r="AO54" s="15">
        <f t="shared" si="1"/>
        <v>0</v>
      </c>
      <c r="AP54" s="15">
        <f t="shared" si="1"/>
        <v>0</v>
      </c>
      <c r="AQ54" s="15">
        <f t="shared" si="1"/>
        <v>0</v>
      </c>
    </row>
    <row r="55" spans="1:43" x14ac:dyDescent="0.25">
      <c r="B55" s="15">
        <f>B52-C50</f>
        <v>0</v>
      </c>
      <c r="C55" s="15">
        <f t="shared" ref="C55:F55" si="2">C52-D50</f>
        <v>0</v>
      </c>
      <c r="D55" s="15">
        <f t="shared" si="2"/>
        <v>0</v>
      </c>
      <c r="E55" s="15">
        <f>E52-F50</f>
        <v>1</v>
      </c>
      <c r="F55" s="15">
        <f t="shared" si="2"/>
        <v>0</v>
      </c>
      <c r="G55" s="15">
        <f t="shared" ref="F55:AQ55" si="3">G52-H50</f>
        <v>0</v>
      </c>
      <c r="H55" s="15">
        <f t="shared" si="3"/>
        <v>0</v>
      </c>
      <c r="I55" s="15">
        <f t="shared" si="3"/>
        <v>0</v>
      </c>
      <c r="J55" s="15">
        <f t="shared" si="3"/>
        <v>0</v>
      </c>
      <c r="K55" s="15">
        <f t="shared" si="3"/>
        <v>0</v>
      </c>
      <c r="L55" s="15">
        <f t="shared" si="3"/>
        <v>0</v>
      </c>
      <c r="M55" s="15">
        <f t="shared" si="3"/>
        <v>0</v>
      </c>
      <c r="N55" s="15">
        <f t="shared" si="3"/>
        <v>0</v>
      </c>
      <c r="O55" s="15">
        <f t="shared" si="3"/>
        <v>0</v>
      </c>
      <c r="P55" s="15">
        <f t="shared" si="3"/>
        <v>0</v>
      </c>
      <c r="Q55" s="15">
        <f t="shared" si="3"/>
        <v>0</v>
      </c>
      <c r="R55" s="15">
        <f t="shared" si="3"/>
        <v>0</v>
      </c>
      <c r="S55" s="15">
        <f t="shared" si="3"/>
        <v>0</v>
      </c>
      <c r="T55" s="15">
        <f t="shared" si="3"/>
        <v>0</v>
      </c>
      <c r="U55" s="15">
        <f t="shared" si="3"/>
        <v>0</v>
      </c>
      <c r="V55" s="15">
        <f t="shared" si="3"/>
        <v>0</v>
      </c>
      <c r="W55" s="15">
        <f t="shared" si="3"/>
        <v>0</v>
      </c>
      <c r="X55" s="15">
        <f t="shared" si="3"/>
        <v>0</v>
      </c>
      <c r="Y55" s="15">
        <f t="shared" si="3"/>
        <v>0</v>
      </c>
      <c r="Z55" s="15">
        <f t="shared" si="3"/>
        <v>0</v>
      </c>
      <c r="AA55" s="15">
        <f t="shared" si="3"/>
        <v>0</v>
      </c>
      <c r="AB55" s="15">
        <f t="shared" si="3"/>
        <v>0</v>
      </c>
      <c r="AC55" s="15">
        <f t="shared" si="3"/>
        <v>0</v>
      </c>
      <c r="AD55" s="15">
        <f t="shared" si="3"/>
        <v>0</v>
      </c>
      <c r="AE55" s="15">
        <f t="shared" si="3"/>
        <v>0</v>
      </c>
      <c r="AF55" s="15">
        <f t="shared" si="3"/>
        <v>0</v>
      </c>
      <c r="AG55" s="15">
        <f t="shared" si="3"/>
        <v>0</v>
      </c>
      <c r="AH55" s="15">
        <f t="shared" si="3"/>
        <v>0</v>
      </c>
      <c r="AI55" s="15">
        <f t="shared" si="3"/>
        <v>0</v>
      </c>
      <c r="AJ55" s="15">
        <f t="shared" si="3"/>
        <v>0</v>
      </c>
      <c r="AK55" s="15">
        <f t="shared" si="3"/>
        <v>0</v>
      </c>
      <c r="AL55" s="15">
        <f t="shared" si="3"/>
        <v>0</v>
      </c>
      <c r="AM55" s="15">
        <f t="shared" si="3"/>
        <v>0</v>
      </c>
      <c r="AN55" s="15">
        <f t="shared" si="3"/>
        <v>0</v>
      </c>
      <c r="AO55" s="15">
        <f t="shared" si="3"/>
        <v>0</v>
      </c>
      <c r="AP55" s="15">
        <f t="shared" si="3"/>
        <v>0</v>
      </c>
      <c r="AQ55" s="15">
        <f t="shared" si="3"/>
        <v>191538773</v>
      </c>
    </row>
    <row r="56" spans="1:43" x14ac:dyDescent="0.25">
      <c r="B56" s="15">
        <f>SUM(B3:B10)-B11</f>
        <v>0</v>
      </c>
      <c r="C56" s="15">
        <f t="shared" ref="C56:F56" si="4">SUM(C3:C10)-C11</f>
        <v>0</v>
      </c>
      <c r="D56" s="15">
        <f t="shared" si="4"/>
        <v>0</v>
      </c>
      <c r="E56" s="15">
        <f t="shared" si="4"/>
        <v>0</v>
      </c>
      <c r="F56" s="15">
        <f t="shared" si="4"/>
        <v>0</v>
      </c>
      <c r="G56" s="15">
        <f t="shared" ref="D56:AQ56" si="5">SUM(G3:G10)-G11</f>
        <v>0</v>
      </c>
      <c r="H56" s="15">
        <f t="shared" si="5"/>
        <v>0</v>
      </c>
      <c r="I56" s="15">
        <f t="shared" si="5"/>
        <v>0</v>
      </c>
      <c r="J56" s="15">
        <f t="shared" si="5"/>
        <v>0</v>
      </c>
      <c r="K56" s="15">
        <f t="shared" si="5"/>
        <v>0</v>
      </c>
      <c r="L56" s="15">
        <f t="shared" si="5"/>
        <v>0</v>
      </c>
      <c r="M56" s="15">
        <f t="shared" si="5"/>
        <v>0</v>
      </c>
      <c r="N56" s="15">
        <f t="shared" si="5"/>
        <v>0</v>
      </c>
      <c r="O56" s="15">
        <f t="shared" si="5"/>
        <v>0</v>
      </c>
      <c r="P56" s="15">
        <f t="shared" si="5"/>
        <v>0</v>
      </c>
      <c r="Q56" s="15">
        <f t="shared" si="5"/>
        <v>0</v>
      </c>
      <c r="R56" s="15">
        <f t="shared" si="5"/>
        <v>0</v>
      </c>
      <c r="S56" s="15">
        <f t="shared" si="5"/>
        <v>0</v>
      </c>
      <c r="T56" s="15">
        <f t="shared" si="5"/>
        <v>0</v>
      </c>
      <c r="U56" s="15">
        <f t="shared" si="5"/>
        <v>0</v>
      </c>
      <c r="V56" s="15">
        <f t="shared" si="5"/>
        <v>0</v>
      </c>
      <c r="W56" s="15">
        <f t="shared" si="5"/>
        <v>0</v>
      </c>
      <c r="X56" s="15">
        <f t="shared" si="5"/>
        <v>0</v>
      </c>
      <c r="Y56" s="15">
        <f t="shared" si="5"/>
        <v>0</v>
      </c>
      <c r="Z56" s="15">
        <f t="shared" si="5"/>
        <v>0</v>
      </c>
      <c r="AA56" s="15">
        <f t="shared" si="5"/>
        <v>0</v>
      </c>
      <c r="AB56" s="15">
        <f t="shared" si="5"/>
        <v>0</v>
      </c>
      <c r="AC56" s="15">
        <f t="shared" si="5"/>
        <v>0</v>
      </c>
      <c r="AD56" s="15">
        <f t="shared" si="5"/>
        <v>0</v>
      </c>
      <c r="AE56" s="15">
        <f t="shared" si="5"/>
        <v>0</v>
      </c>
      <c r="AF56" s="15">
        <f t="shared" si="5"/>
        <v>0</v>
      </c>
      <c r="AG56" s="15">
        <f t="shared" si="5"/>
        <v>0</v>
      </c>
      <c r="AH56" s="15">
        <f t="shared" si="5"/>
        <v>0</v>
      </c>
      <c r="AI56" s="15">
        <f t="shared" si="5"/>
        <v>0</v>
      </c>
      <c r="AJ56" s="15">
        <f t="shared" si="5"/>
        <v>0</v>
      </c>
      <c r="AK56" s="15">
        <f t="shared" si="5"/>
        <v>0</v>
      </c>
      <c r="AL56" s="15">
        <f t="shared" si="5"/>
        <v>0</v>
      </c>
      <c r="AM56" s="15">
        <f t="shared" si="5"/>
        <v>0</v>
      </c>
      <c r="AN56" s="15">
        <f t="shared" si="5"/>
        <v>0</v>
      </c>
      <c r="AO56" s="15">
        <f t="shared" si="5"/>
        <v>0</v>
      </c>
      <c r="AP56" s="15">
        <f t="shared" si="5"/>
        <v>0</v>
      </c>
      <c r="AQ56" s="15">
        <f t="shared" si="5"/>
        <v>0</v>
      </c>
    </row>
    <row r="57" spans="1:43" x14ac:dyDescent="0.25">
      <c r="B57" s="15">
        <f>SUM(B13:B18,B20:B27,B11)-B28</f>
        <v>0</v>
      </c>
      <c r="C57" s="15">
        <f t="shared" ref="C57:F57" si="6">SUM(C13:C18,C20:C27,C11)-C28</f>
        <v>0</v>
      </c>
      <c r="D57" s="15">
        <f t="shared" si="6"/>
        <v>0</v>
      </c>
      <c r="E57" s="15">
        <f t="shared" si="6"/>
        <v>0</v>
      </c>
      <c r="F57" s="15">
        <f t="shared" si="6"/>
        <v>0</v>
      </c>
      <c r="G57" s="15">
        <f t="shared" ref="D57:AQ57" si="7">SUM(G13:G18,G20:G27,G11)-G28</f>
        <v>0</v>
      </c>
      <c r="H57" s="15">
        <f t="shared" si="7"/>
        <v>0</v>
      </c>
      <c r="I57" s="15">
        <f t="shared" si="7"/>
        <v>0</v>
      </c>
      <c r="J57" s="15">
        <f t="shared" si="7"/>
        <v>0</v>
      </c>
      <c r="K57" s="15">
        <f t="shared" si="7"/>
        <v>0</v>
      </c>
      <c r="L57" s="15">
        <f t="shared" si="7"/>
        <v>0</v>
      </c>
      <c r="M57" s="15">
        <f t="shared" si="7"/>
        <v>0</v>
      </c>
      <c r="N57" s="15">
        <f t="shared" si="7"/>
        <v>0</v>
      </c>
      <c r="O57" s="15">
        <f t="shared" si="7"/>
        <v>0</v>
      </c>
      <c r="P57" s="15">
        <f t="shared" si="7"/>
        <v>0</v>
      </c>
      <c r="Q57" s="15">
        <f t="shared" si="7"/>
        <v>0</v>
      </c>
      <c r="R57" s="15">
        <f t="shared" si="7"/>
        <v>0</v>
      </c>
      <c r="S57" s="15">
        <f t="shared" si="7"/>
        <v>0</v>
      </c>
      <c r="T57" s="15">
        <f t="shared" si="7"/>
        <v>0</v>
      </c>
      <c r="U57" s="15">
        <f t="shared" si="7"/>
        <v>0</v>
      </c>
      <c r="V57" s="15">
        <f t="shared" si="7"/>
        <v>0</v>
      </c>
      <c r="W57" s="15">
        <f t="shared" si="7"/>
        <v>0</v>
      </c>
      <c r="X57" s="15">
        <f t="shared" si="7"/>
        <v>0</v>
      </c>
      <c r="Y57" s="15">
        <f t="shared" si="7"/>
        <v>0</v>
      </c>
      <c r="Z57" s="15">
        <f t="shared" si="7"/>
        <v>0</v>
      </c>
      <c r="AA57" s="15">
        <f t="shared" si="7"/>
        <v>0</v>
      </c>
      <c r="AB57" s="15">
        <f t="shared" si="7"/>
        <v>0</v>
      </c>
      <c r="AC57" s="15">
        <f t="shared" si="7"/>
        <v>0</v>
      </c>
      <c r="AD57" s="15">
        <f t="shared" si="7"/>
        <v>0</v>
      </c>
      <c r="AE57" s="15">
        <f t="shared" si="7"/>
        <v>0</v>
      </c>
      <c r="AF57" s="15">
        <f t="shared" si="7"/>
        <v>0</v>
      </c>
      <c r="AG57" s="15">
        <f t="shared" si="7"/>
        <v>0</v>
      </c>
      <c r="AH57" s="15">
        <f t="shared" si="7"/>
        <v>0</v>
      </c>
      <c r="AI57" s="15">
        <f t="shared" si="7"/>
        <v>0</v>
      </c>
      <c r="AJ57" s="15">
        <f t="shared" si="7"/>
        <v>0</v>
      </c>
      <c r="AK57" s="15">
        <f t="shared" si="7"/>
        <v>0</v>
      </c>
      <c r="AL57" s="15">
        <f t="shared" si="7"/>
        <v>0</v>
      </c>
      <c r="AM57" s="15">
        <f t="shared" si="7"/>
        <v>0</v>
      </c>
      <c r="AN57" s="15">
        <f t="shared" si="7"/>
        <v>0</v>
      </c>
      <c r="AO57" s="15">
        <f t="shared" si="7"/>
        <v>0</v>
      </c>
      <c r="AP57" s="15">
        <f t="shared" si="7"/>
        <v>0</v>
      </c>
      <c r="AQ57" s="15">
        <f t="shared" si="7"/>
        <v>0</v>
      </c>
    </row>
    <row r="58" spans="1:43" x14ac:dyDescent="0.25">
      <c r="B58" s="15">
        <f>SUM(B30:B39)-B40</f>
        <v>0</v>
      </c>
      <c r="C58" s="15">
        <f t="shared" ref="C58:F58" si="8">SUM(C30:C39)-C40</f>
        <v>0</v>
      </c>
      <c r="D58" s="15">
        <f t="shared" si="8"/>
        <v>0</v>
      </c>
      <c r="E58" s="15">
        <f t="shared" si="8"/>
        <v>0</v>
      </c>
      <c r="F58" s="15">
        <f t="shared" si="8"/>
        <v>0</v>
      </c>
      <c r="G58" s="15">
        <f t="shared" ref="D58:AQ58" si="9">SUM(G30:G39)-G40</f>
        <v>0</v>
      </c>
      <c r="H58" s="15">
        <f t="shared" si="9"/>
        <v>0</v>
      </c>
      <c r="I58" s="15">
        <f t="shared" si="9"/>
        <v>0</v>
      </c>
      <c r="J58" s="15">
        <f t="shared" si="9"/>
        <v>0</v>
      </c>
      <c r="K58" s="15">
        <f t="shared" si="9"/>
        <v>0</v>
      </c>
      <c r="L58" s="15">
        <f t="shared" si="9"/>
        <v>0</v>
      </c>
      <c r="M58" s="15">
        <f t="shared" si="9"/>
        <v>0</v>
      </c>
      <c r="N58" s="15">
        <f t="shared" si="9"/>
        <v>0</v>
      </c>
      <c r="O58" s="15">
        <f t="shared" si="9"/>
        <v>0</v>
      </c>
      <c r="P58" s="15">
        <f t="shared" si="9"/>
        <v>0</v>
      </c>
      <c r="Q58" s="15">
        <f t="shared" si="9"/>
        <v>0</v>
      </c>
      <c r="R58" s="15">
        <f t="shared" si="9"/>
        <v>0</v>
      </c>
      <c r="S58" s="15">
        <f t="shared" si="9"/>
        <v>0</v>
      </c>
      <c r="T58" s="15">
        <f t="shared" si="9"/>
        <v>0</v>
      </c>
      <c r="U58" s="15">
        <f t="shared" si="9"/>
        <v>0</v>
      </c>
      <c r="V58" s="15">
        <f t="shared" si="9"/>
        <v>0</v>
      </c>
      <c r="W58" s="15">
        <f t="shared" si="9"/>
        <v>0</v>
      </c>
      <c r="X58" s="15">
        <f t="shared" si="9"/>
        <v>0</v>
      </c>
      <c r="Y58" s="15">
        <f t="shared" si="9"/>
        <v>0</v>
      </c>
      <c r="Z58" s="15">
        <f t="shared" si="9"/>
        <v>0</v>
      </c>
      <c r="AA58" s="15">
        <f t="shared" si="9"/>
        <v>0</v>
      </c>
      <c r="AB58" s="15">
        <f t="shared" si="9"/>
        <v>0</v>
      </c>
      <c r="AC58" s="15">
        <f t="shared" si="9"/>
        <v>0</v>
      </c>
      <c r="AD58" s="15">
        <f t="shared" si="9"/>
        <v>0</v>
      </c>
      <c r="AE58" s="15">
        <f t="shared" si="9"/>
        <v>0</v>
      </c>
      <c r="AF58" s="15">
        <f t="shared" si="9"/>
        <v>0</v>
      </c>
      <c r="AG58" s="15">
        <f t="shared" si="9"/>
        <v>0</v>
      </c>
      <c r="AH58" s="15">
        <f t="shared" si="9"/>
        <v>0</v>
      </c>
      <c r="AI58" s="15">
        <f t="shared" si="9"/>
        <v>0</v>
      </c>
      <c r="AJ58" s="15">
        <f t="shared" si="9"/>
        <v>0</v>
      </c>
      <c r="AK58" s="15">
        <f t="shared" si="9"/>
        <v>0</v>
      </c>
      <c r="AL58" s="15">
        <f t="shared" si="9"/>
        <v>0</v>
      </c>
      <c r="AM58" s="15">
        <f t="shared" si="9"/>
        <v>0</v>
      </c>
      <c r="AN58" s="15">
        <f t="shared" si="9"/>
        <v>0</v>
      </c>
      <c r="AO58" s="15">
        <f t="shared" si="9"/>
        <v>0</v>
      </c>
      <c r="AP58" s="15">
        <f t="shared" si="9"/>
        <v>0</v>
      </c>
      <c r="AQ58" s="15">
        <f t="shared" si="9"/>
        <v>0</v>
      </c>
    </row>
    <row r="59" spans="1:43" x14ac:dyDescent="0.25">
      <c r="B59" s="15">
        <f>SUM(B42:B47)-B48</f>
        <v>0</v>
      </c>
      <c r="C59" s="15">
        <f t="shared" ref="C59:F59" si="10">SUM(C42:C47)-C48</f>
        <v>0</v>
      </c>
      <c r="D59" s="15">
        <f t="shared" si="10"/>
        <v>0</v>
      </c>
      <c r="E59" s="15">
        <f t="shared" si="10"/>
        <v>0</v>
      </c>
      <c r="F59" s="15">
        <f t="shared" si="10"/>
        <v>0</v>
      </c>
      <c r="G59" s="15">
        <f t="shared" ref="D59:AQ59" si="11">SUM(G42:G47)-G48</f>
        <v>0</v>
      </c>
      <c r="H59" s="15">
        <f t="shared" si="11"/>
        <v>0</v>
      </c>
      <c r="I59" s="15">
        <f t="shared" si="11"/>
        <v>0</v>
      </c>
      <c r="J59" s="15">
        <f t="shared" si="11"/>
        <v>0</v>
      </c>
      <c r="K59" s="15">
        <f t="shared" si="11"/>
        <v>0</v>
      </c>
      <c r="L59" s="15">
        <f t="shared" si="11"/>
        <v>0</v>
      </c>
      <c r="M59" s="15">
        <f t="shared" si="11"/>
        <v>0</v>
      </c>
      <c r="N59" s="15">
        <f t="shared" si="11"/>
        <v>0</v>
      </c>
      <c r="O59" s="15">
        <f t="shared" si="11"/>
        <v>0</v>
      </c>
      <c r="P59" s="15">
        <f t="shared" si="11"/>
        <v>0</v>
      </c>
      <c r="Q59" s="15">
        <f t="shared" si="11"/>
        <v>0</v>
      </c>
      <c r="R59" s="15">
        <f t="shared" si="11"/>
        <v>0</v>
      </c>
      <c r="S59" s="15">
        <f t="shared" si="11"/>
        <v>0</v>
      </c>
      <c r="T59" s="15">
        <f t="shared" si="11"/>
        <v>0</v>
      </c>
      <c r="U59" s="15">
        <f t="shared" si="11"/>
        <v>0</v>
      </c>
      <c r="V59" s="15">
        <f t="shared" si="11"/>
        <v>0</v>
      </c>
      <c r="W59" s="15">
        <f t="shared" si="11"/>
        <v>0</v>
      </c>
      <c r="X59" s="15">
        <f t="shared" si="11"/>
        <v>0</v>
      </c>
      <c r="Y59" s="15">
        <f t="shared" si="11"/>
        <v>0</v>
      </c>
      <c r="Z59" s="15">
        <f t="shared" si="11"/>
        <v>0</v>
      </c>
      <c r="AA59" s="15">
        <f t="shared" si="11"/>
        <v>0</v>
      </c>
      <c r="AB59" s="15">
        <f t="shared" si="11"/>
        <v>0</v>
      </c>
      <c r="AC59" s="15">
        <f t="shared" si="11"/>
        <v>0</v>
      </c>
      <c r="AD59" s="15">
        <f t="shared" si="11"/>
        <v>0</v>
      </c>
      <c r="AE59" s="15">
        <f t="shared" si="11"/>
        <v>0</v>
      </c>
      <c r="AF59" s="15">
        <f t="shared" si="11"/>
        <v>0</v>
      </c>
      <c r="AG59" s="15">
        <f t="shared" si="11"/>
        <v>0</v>
      </c>
      <c r="AH59" s="15">
        <f t="shared" si="11"/>
        <v>0</v>
      </c>
      <c r="AI59" s="15">
        <f t="shared" si="11"/>
        <v>0</v>
      </c>
      <c r="AJ59" s="15">
        <f t="shared" si="11"/>
        <v>0</v>
      </c>
      <c r="AK59" s="15">
        <f t="shared" si="11"/>
        <v>0</v>
      </c>
      <c r="AL59" s="15">
        <f t="shared" si="11"/>
        <v>0</v>
      </c>
      <c r="AM59" s="15">
        <f t="shared" si="11"/>
        <v>0</v>
      </c>
      <c r="AN59" s="15">
        <f t="shared" si="11"/>
        <v>0</v>
      </c>
      <c r="AO59" s="15">
        <f t="shared" si="11"/>
        <v>0</v>
      </c>
      <c r="AP59" s="15">
        <f t="shared" si="11"/>
        <v>0</v>
      </c>
      <c r="AQ59" s="15">
        <f t="shared" si="11"/>
        <v>0</v>
      </c>
    </row>
    <row r="60" spans="1:43" x14ac:dyDescent="0.25">
      <c r="B60" s="15">
        <f>B49-B48-B40-B28</f>
        <v>0</v>
      </c>
      <c r="C60" s="15">
        <f t="shared" ref="C60:F60" si="12">C49-C48-C40-C28</f>
        <v>0</v>
      </c>
      <c r="D60" s="15">
        <f t="shared" si="12"/>
        <v>0</v>
      </c>
      <c r="E60" s="15">
        <f t="shared" si="12"/>
        <v>0</v>
      </c>
      <c r="F60" s="15">
        <f t="shared" si="12"/>
        <v>0</v>
      </c>
      <c r="G60" s="15">
        <f t="shared" ref="D60:AQ60" si="13">G49-G48-G40-G28</f>
        <v>0</v>
      </c>
      <c r="H60" s="15">
        <f t="shared" si="13"/>
        <v>0</v>
      </c>
      <c r="I60" s="15">
        <f t="shared" si="13"/>
        <v>0</v>
      </c>
      <c r="J60" s="15">
        <f t="shared" si="13"/>
        <v>0</v>
      </c>
      <c r="K60" s="15">
        <f t="shared" si="13"/>
        <v>0</v>
      </c>
      <c r="L60" s="15">
        <f t="shared" si="13"/>
        <v>0</v>
      </c>
      <c r="M60" s="15">
        <f t="shared" si="13"/>
        <v>0</v>
      </c>
      <c r="N60" s="15">
        <f t="shared" si="13"/>
        <v>0</v>
      </c>
      <c r="O60" s="15">
        <f t="shared" si="13"/>
        <v>0</v>
      </c>
      <c r="P60" s="15">
        <f t="shared" si="13"/>
        <v>0</v>
      </c>
      <c r="Q60" s="15">
        <f t="shared" si="13"/>
        <v>0</v>
      </c>
      <c r="R60" s="15">
        <f t="shared" si="13"/>
        <v>0</v>
      </c>
      <c r="S60" s="15">
        <f t="shared" si="13"/>
        <v>0</v>
      </c>
      <c r="T60" s="15">
        <f t="shared" si="13"/>
        <v>0</v>
      </c>
      <c r="U60" s="15">
        <f t="shared" si="13"/>
        <v>0</v>
      </c>
      <c r="V60" s="15">
        <f t="shared" si="13"/>
        <v>0</v>
      </c>
      <c r="W60" s="15">
        <f t="shared" si="13"/>
        <v>0</v>
      </c>
      <c r="X60" s="15">
        <f t="shared" si="13"/>
        <v>0</v>
      </c>
      <c r="Y60" s="15">
        <f t="shared" si="13"/>
        <v>0</v>
      </c>
      <c r="Z60" s="15">
        <f t="shared" si="13"/>
        <v>0</v>
      </c>
      <c r="AA60" s="15">
        <f t="shared" si="13"/>
        <v>0</v>
      </c>
      <c r="AB60" s="15">
        <f t="shared" si="13"/>
        <v>0</v>
      </c>
      <c r="AC60" s="15">
        <f t="shared" si="13"/>
        <v>0</v>
      </c>
      <c r="AD60" s="15">
        <f t="shared" si="13"/>
        <v>0</v>
      </c>
      <c r="AE60" s="15">
        <f t="shared" si="13"/>
        <v>0</v>
      </c>
      <c r="AF60" s="15">
        <f t="shared" si="13"/>
        <v>0</v>
      </c>
      <c r="AG60" s="15">
        <f t="shared" si="13"/>
        <v>0</v>
      </c>
      <c r="AH60" s="15">
        <f t="shared" si="13"/>
        <v>0</v>
      </c>
      <c r="AI60" s="15">
        <f t="shared" si="13"/>
        <v>0</v>
      </c>
      <c r="AJ60" s="15">
        <f t="shared" si="13"/>
        <v>0</v>
      </c>
      <c r="AK60" s="15">
        <f t="shared" si="13"/>
        <v>0</v>
      </c>
      <c r="AL60" s="15">
        <f t="shared" si="13"/>
        <v>0</v>
      </c>
      <c r="AM60" s="15">
        <f t="shared" si="13"/>
        <v>0</v>
      </c>
      <c r="AN60" s="15">
        <f t="shared" si="13"/>
        <v>0</v>
      </c>
      <c r="AO60" s="15">
        <f t="shared" si="13"/>
        <v>0</v>
      </c>
      <c r="AP60" s="15">
        <f t="shared" si="13"/>
        <v>0</v>
      </c>
      <c r="AQ60" s="15">
        <f t="shared" si="13"/>
        <v>0</v>
      </c>
    </row>
  </sheetData>
  <conditionalFormatting sqref="B54:AQ54">
    <cfRule type="containsText" dxfId="1" priority="2" operator="containsText" text="FALSE">
      <formula>NOT(ISERROR(SEARCH("FALSE",B54)))</formula>
    </cfRule>
  </conditionalFormatting>
  <conditionalFormatting sqref="B54:AQ60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CDKT</vt:lpstr>
      <vt:lpstr>KQKD</vt:lpstr>
      <vt:lpstr>LCTT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BHBV</dc:creator>
  <cp:lastModifiedBy>Khang Ly</cp:lastModifiedBy>
  <dcterms:created xsi:type="dcterms:W3CDTF">2026-09-24T04:06:23Z</dcterms:created>
  <dcterms:modified xsi:type="dcterms:W3CDTF">2026-10-04T17:23:51Z</dcterms:modified>
</cp:coreProperties>
</file>