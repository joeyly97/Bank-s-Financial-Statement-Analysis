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3f38e97295c2b7/Desktop/"/>
    </mc:Choice>
  </mc:AlternateContent>
  <xr:revisionPtr revIDLastSave="4" documentId="11_2A60A16F485EBF680273D377B7764701F8274216" xr6:coauthVersionLast="47" xr6:coauthVersionMax="47" xr10:uidLastSave="{7E876210-F617-430D-8140-18FA4C429C42}"/>
  <bookViews>
    <workbookView xWindow="-120" yWindow="-120" windowWidth="29040" windowHeight="15720" xr2:uid="{00000000-000D-0000-FFFF-FFFF00000000}"/>
  </bookViews>
  <sheets>
    <sheet name="CDKT" sheetId="1" r:id="rId1"/>
    <sheet name="KQKD" sheetId="2" r:id="rId2"/>
    <sheet name="LCTT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0" i="2" l="1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R30" i="2"/>
  <c r="AK55" i="3"/>
  <c r="Y55" i="3"/>
  <c r="Y61" i="3"/>
  <c r="Y56" i="3"/>
  <c r="Y58" i="3"/>
  <c r="U56" i="3"/>
  <c r="V57" i="3"/>
  <c r="U57" i="3"/>
  <c r="U61" i="3"/>
  <c r="U59" i="3"/>
  <c r="V55" i="3"/>
  <c r="W55" i="3"/>
  <c r="X55" i="3"/>
  <c r="Z55" i="3"/>
  <c r="AA55" i="3"/>
  <c r="AB55" i="3"/>
  <c r="AC55" i="3"/>
  <c r="AD55" i="3"/>
  <c r="AE55" i="3"/>
  <c r="AF55" i="3"/>
  <c r="AG55" i="3"/>
  <c r="AH55" i="3"/>
  <c r="AI55" i="3"/>
  <c r="AJ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T55" i="3"/>
  <c r="S55" i="3"/>
  <c r="S56" i="3"/>
  <c r="S57" i="3"/>
  <c r="S58" i="3"/>
  <c r="S59" i="3"/>
  <c r="S60" i="3"/>
  <c r="S61" i="3"/>
  <c r="T56" i="3"/>
  <c r="V56" i="3"/>
  <c r="W56" i="3"/>
  <c r="X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T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T58" i="3"/>
  <c r="V58" i="3"/>
  <c r="W58" i="3"/>
  <c r="X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T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T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T61" i="3"/>
  <c r="V61" i="3"/>
  <c r="W61" i="3"/>
  <c r="X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R55" i="3"/>
  <c r="C55" i="3" l="1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B61" i="3"/>
  <c r="B60" i="3"/>
  <c r="B59" i="3"/>
  <c r="B58" i="3"/>
  <c r="B57" i="3"/>
  <c r="B56" i="3"/>
  <c r="B55" i="3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M7" i="2"/>
  <c r="AM27" i="2" s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U58" i="3"/>
  <c r="U55" i="3"/>
  <c r="U60" i="3"/>
</calcChain>
</file>

<file path=xl/sharedStrings.xml><?xml version="1.0" encoding="utf-8"?>
<sst xmlns="http://schemas.openxmlformats.org/spreadsheetml/2006/main" count="327" uniqueCount="206">
  <si>
    <t>Q4 2010</t>
  </si>
  <si>
    <t>Q4 2011</t>
  </si>
  <si>
    <t>Q4 2012</t>
  </si>
  <si>
    <t>Q1 2013</t>
  </si>
  <si>
    <t>Q2 2013</t>
  </si>
  <si>
    <t>TÀI SẢN</t>
  </si>
  <si>
    <t>I. Tiền mặt, chứng từ có giá trị, ngoại tệ, kim loại quý, đá quý</t>
  </si>
  <si>
    <t>II. Tiền gửi tại NHNN</t>
  </si>
  <si>
    <t>III. Tín phiếu kho bạc và các giấy tờ có giá ngắn hạn đủ tiêu chuẩn khác</t>
  </si>
  <si>
    <t>IV. Tiền, vàng gửi tại các TCTD khác và cho vay các TCTD khác</t>
  </si>
  <si>
    <t>1. Tiền, Vàng gửi tại các TCTD khác</t>
  </si>
  <si>
    <t>2. Cho vay các TCTD khác</t>
  </si>
  <si>
    <t>3. Dự phòng rủi ro cho vay các TCTD khác</t>
  </si>
  <si>
    <t>V. Chứng khoán kinh doanh</t>
  </si>
  <si>
    <t>1. Chứng khoán kinh doanh</t>
  </si>
  <si>
    <t>2. Dự phòng giảm giá chứng khoán kinh doanh</t>
  </si>
  <si>
    <t>VI. Các công cụ tài chính phái sinh và các tài sản tài chính khác</t>
  </si>
  <si>
    <t>VII. Cho vay khách hàng</t>
  </si>
  <si>
    <t>1. Cho vay khách hàng</t>
  </si>
  <si>
    <t>2. Dự phòng rủi ro cho vay khách hàng</t>
  </si>
  <si>
    <t>VIII. Chứng khoán đầu tư</t>
  </si>
  <si>
    <t>1. Chứng khoán đầu tư sẵn sàng để bán</t>
  </si>
  <si>
    <t>2. Chứng khoán đầu tư giữ đến ngày đáo hạn</t>
  </si>
  <si>
    <t>3. Dự phòng giảm giá chứng khoán đầu tư</t>
  </si>
  <si>
    <t>IX. Góp vốn đầu tư dài hạn</t>
  </si>
  <si>
    <t>1. Đầu tư vào công ty con</t>
  </si>
  <si>
    <t>2. Góp vốn liên doanh</t>
  </si>
  <si>
    <t>3. Đầu tư vào công ty liên kết</t>
  </si>
  <si>
    <t>4. Đầu tư dài hạn khác</t>
  </si>
  <si>
    <t>5. Dự phòng giảm giá đầu tư dài hạn</t>
  </si>
  <si>
    <t>X. Tài sản cố định</t>
  </si>
  <si>
    <t>1. Tài sản cố định hữu hình</t>
  </si>
  <si>
    <t>2. Tài sản cố định thuê tài chính</t>
  </si>
  <si>
    <t>3. Tài sản cố định vô hình</t>
  </si>
  <si>
    <t>5. Chi phí XDCB dở dang</t>
  </si>
  <si>
    <t>XI. Bất động sản đầu tư</t>
  </si>
  <si>
    <t>- Nguyên giá</t>
  </si>
  <si>
    <t>- Giá trị hao mòn lũy kế</t>
  </si>
  <si>
    <t>XII. Tài sản có khác</t>
  </si>
  <si>
    <t>1. Các khoản phải thu</t>
  </si>
  <si>
    <t>2. Các khoản lãi, phí phải thu</t>
  </si>
  <si>
    <t>3. Tài sản thuế TNDN hoãn lại</t>
  </si>
  <si>
    <t>4. Tài sản có khác</t>
  </si>
  <si>
    <t>5. Các khoản dự phòng rủi ro cho các tài sản có nội bảng khác</t>
  </si>
  <si>
    <t>TỔNG CỘNG TÀI SẢN</t>
  </si>
  <si>
    <t>NGUỒN VỐN</t>
  </si>
  <si>
    <t>I. Các khoản nợ chính phủ và NHNN</t>
  </si>
  <si>
    <t>II. Tiền gửi và cho vay các TCTD khác</t>
  </si>
  <si>
    <t>1. Tiền gửi các tổ chức tín dụng khác</t>
  </si>
  <si>
    <t>2. Vay các TCTD khác</t>
  </si>
  <si>
    <t>III. Tiền gửi khách hàng</t>
  </si>
  <si>
    <t>IV. Các công cụ tài chính phái sinh và các khoản nợ tài chính khác</t>
  </si>
  <si>
    <t>V. Vốn tài trợ, uỷ thác đầu tư mà ngân hàng chịu rủi ro</t>
  </si>
  <si>
    <t>VI. Phát hành giấy tờ có giá</t>
  </si>
  <si>
    <t>VII. Các khoản nợ khác</t>
  </si>
  <si>
    <t>1. Các khoản lãi, phí phải trả</t>
  </si>
  <si>
    <t>2.Thuế TNDN hoãn lại phải trả</t>
  </si>
  <si>
    <t>3. Các khoản phải trả và công nợ khác</t>
  </si>
  <si>
    <t>4. Dự phòng rủi ro khác</t>
  </si>
  <si>
    <t>VIII. Vốn và các quỹ</t>
  </si>
  <si>
    <t>1. Vốn của Tổ chức tín dụng</t>
  </si>
  <si>
    <t>2. Quỹ của TCTD</t>
  </si>
  <si>
    <t>3. Chênh lệch tỷ giá hối đoái</t>
  </si>
  <si>
    <t>4. Chênh lệch đánh giá lại tài sản</t>
  </si>
  <si>
    <t>5. Lợi nhuận chưa phân phối/Lỗ lũy kế</t>
  </si>
  <si>
    <t>6. Nguồn kinh phí, Quỹ khác</t>
  </si>
  <si>
    <t>IX. Lợi ích của cổ đông thiểu số</t>
  </si>
  <si>
    <t>TỔNG CỘNG NGUỒN VỐN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</si>
  <si>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</si>
  <si>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</si>
  <si>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</si>
  <si>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</si>
  <si>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</si>
  <si>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</si>
  <si>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</si>
  <si>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</si>
  <si>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</si>
  <si>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</si>
  <si>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</si>
  <si>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</si>
  <si>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</si>
  <si>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</si>
  <si>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</si>
  <si>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</si>
  <si>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</si>
  <si>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</si>
  <si>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</si>
  <si>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</si>
  <si>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</si>
  <si>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</si>
  <si>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</si>
  <si>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</si>
  <si>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</si>
  <si>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</si>
  <si>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</si>
  <si>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</si>
  <si>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</si>
  <si>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</si>
  <si>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</si>
  <si>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</si>
  <si>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</si>
  <si>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</si>
  <si>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</si>
  <si>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</si>
  <si>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</si>
  <si>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</si>
  <si>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</si>
  <si>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</si>
  <si>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</si>
  <si>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</si>
  <si>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</si>
  <si>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</si>
  <si>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</si>
  <si>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</si>
  <si>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</si>
  <si>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</si>
  <si>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</si>
  <si>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</si>
  <si>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- Trong đó: Lợi thế thương mại</t>
  </si>
  <si>
    <t>- Vốn điều lệ</t>
  </si>
  <si>
    <t>- Vốn đầu tư XDCB</t>
  </si>
  <si>
    <t>- Thặng dư vốn cổ phần</t>
  </si>
  <si>
    <t>- Cổ phiếu quỹ</t>
  </si>
  <si>
    <t>- Cổ phiếu ưu đãi</t>
  </si>
  <si>
    <t>- Vốn khác</t>
  </si>
  <si>
    <t>Q1 2026</t>
  </si>
  <si>
    <t>Q2 2026</t>
  </si>
  <si>
    <t>Q1 2012</t>
  </si>
  <si>
    <t>Q2 2012</t>
  </si>
  <si>
    <t>Q3 2012</t>
  </si>
  <si>
    <t>Thu nhập lãi thuần</t>
  </si>
  <si>
    <t>Thu nhập từ lãi và các khoản thu nhập tương tự</t>
  </si>
  <si>
    <t>Chi phí lãi và các chi phí tương tự</t>
  </si>
  <si>
    <t>Lãi/Lỗ thuần từ hoạt động dịch vụ</t>
  </si>
  <si>
    <t>Thu nhập từ hoạt động dịch vụ</t>
  </si>
  <si>
    <t>Chi phí hoạt động dịch vụ</t>
  </si>
  <si>
    <t>Lãi/Lỗ thuần từ hoạt động kinh doanh ngoại hối</t>
  </si>
  <si>
    <t>Lãi/Lỗ thuần từ mua bán chứng khoán kinh doanh</t>
  </si>
  <si>
    <t>Lãi/Lỗ thuần từ mua bán chứng khoán đầu tư</t>
  </si>
  <si>
    <t>Lãi/Lỗ thuần từ hoạt động khác</t>
  </si>
  <si>
    <t>Thu nhập từ hoạt động khác</t>
  </si>
  <si>
    <t>Chi phí hoạt động khác</t>
  </si>
  <si>
    <t>Thu nhập từ hoạt động góp vốn mua cổ phần</t>
  </si>
  <si>
    <t>Chi phí hoạt động</t>
  </si>
  <si>
    <t>Lợi nhuận từ HDKD trước chi phí dự phòng rủi ro tín dụng</t>
  </si>
  <si>
    <t>Chi phí dự phòng rủi ro tín dụng</t>
  </si>
  <si>
    <t>Tổng lợi nhuận trước thuế</t>
  </si>
  <si>
    <t>Chi phí thuế TNDN</t>
  </si>
  <si>
    <t>Chi phí thuế thu nhập hiện hành</t>
  </si>
  <si>
    <t>Chi phí thuế TNDN giữ lại</t>
  </si>
  <si>
    <t>Lợi nhuận sau thuế thu nhập doanh nghiệp</t>
  </si>
  <si>
    <t>Lợi ích của cổ đông thiểu số và cổ tức ưu đãi</t>
  </si>
  <si>
    <t>LNST sau khi điều chỉnh Lợi ích của CĐTS và Cổ tức ưu đãi</t>
  </si>
  <si>
    <t>I. Lưu chuyển tiền từ hoạt động kinh doanh</t>
  </si>
  <si>
    <t>- Thu nhập lãi và các khoản thu nhập tương tự nhận được</t>
  </si>
  <si>
    <t>- Chi phí lãi và các chi phí tương tự đã trả</t>
  </si>
  <si>
    <t>- Thu nhập từ hoạt động dịch vụ nhận được</t>
  </si>
  <si>
    <t>- Chênh lệch số tiền thực thu/ thực chi từ hoạt động kinh doanh (ngoại tệ, vàng bạc, chứng khoán)</t>
  </si>
  <si>
    <t>- Thu nhập khác</t>
  </si>
  <si>
    <t>- Tiền thu các khoản nợ đã được xử lý xóa, bù đắp bằng nguồn rủi ro</t>
  </si>
  <si>
    <t>- Tiền chi trả cho nhân viên và hoạt động quản lý, công vụ</t>
  </si>
  <si>
    <t>- Tiền thuế thu nhập thực nộp trong kỳ</t>
  </si>
  <si>
    <t>Lưu chuyển tiền thuần từ hoạt động kinh doanh trước những thay đổi về tài sản và vốn lưu động</t>
  </si>
  <si>
    <t>1. Những thay đổi về tài sản hoạt động</t>
  </si>
  <si>
    <t>- (Tăng)/Giảm các khoản tiền, vàng gửi và cho vay các TCTD khác</t>
  </si>
  <si>
    <t>- (Tăng)/Giảm các khoản về kinh doanh chứng khoán</t>
  </si>
  <si>
    <t>- (Tăng)/Giảm các công cụ tài chính phái sinh và các tài sản tài chính khác</t>
  </si>
  <si>
    <t>- (Tăng)/Giảm các khoản cho vay khách hàng</t>
  </si>
  <si>
    <t>- (Tăng)/Giảm nguồn dự phòng để bù bắp tổn thất các khoản</t>
  </si>
  <si>
    <t>- (Tăng)/Giảm khác về tài sản hoạt động</t>
  </si>
  <si>
    <t>2. Những thay đổi về công nợ hoạt động</t>
  </si>
  <si>
    <t>- Tăng/(Giảm) các khoản nợ chính phủ và NHNN</t>
  </si>
  <si>
    <t>- Tăng/(Giảm) các khoản tiền gửi, tiền vay các TCTD</t>
  </si>
  <si>
    <t>- Tăng/(Giảm) tiền gửi của khách hàng</t>
  </si>
  <si>
    <t>- Tăng/(Giảm) phát hành giấy tờ có giá</t>
  </si>
  <si>
    <t>- Tăng/(Giảm) vốn tài trợ, ủy thác đầu tư, cho vay mà TCTD chịu rủi ro</t>
  </si>
  <si>
    <t>- Tăng/(Giảm) các công cụ tài chính phái sinh và các khoản nợ tài chính khác</t>
  </si>
  <si>
    <t>- Tăng/(Giảm) khác về công nợ hoạt động</t>
  </si>
  <si>
    <t>- Chi từ các quỹ của TCTD</t>
  </si>
  <si>
    <t>Lưu chuyển tiền thuần từ hoạt động kinh doanh</t>
  </si>
  <si>
    <t>II. Lưu chuyển tiền từ hoạt động đầu tư</t>
  </si>
  <si>
    <t>- Tiền giảm do bán công ty con</t>
  </si>
  <si>
    <t>- Mua sắm TSCĐ</t>
  </si>
  <si>
    <t>- Tiền thu từ thanh lý, nhượng bán TSCĐ</t>
  </si>
  <si>
    <t>- Tiền chi từ thanh lý, nhượng bán TSCĐ</t>
  </si>
  <si>
    <t>- Mua sắm bất động sản đầu tư</t>
  </si>
  <si>
    <t>- Tiền thu từ bán, thanh lý bất động sản đầu tư</t>
  </si>
  <si>
    <t>- Tiền chi ra do bán, thanh lý bất động sản đầu tư</t>
  </si>
  <si>
    <t>- Tiền chi đầu tư, góp vốn vào các đơn vị khác</t>
  </si>
  <si>
    <t>- Tiền thu đầu tư, góp vốn vào các đơn vị khác</t>
  </si>
  <si>
    <t>- Tiền thu cổ tức và lợi nhuận được chia từ các khoản đầu tư, góp vốn dài hạn</t>
  </si>
  <si>
    <t>Lưu chuyển tiền thuần từ hoạt động đầu tư</t>
  </si>
  <si>
    <t>III. Lưu chuyển tiền từ hoạt động tài chính</t>
  </si>
  <si>
    <t>- Tăng vốn cổ phần từ góp vốn và phát hành cổ phiếu</t>
  </si>
  <si>
    <t>- Tiền thu từ phát hành giấy tờ có giá dài hạn có đủ điều kiện tính vào vốn tự có và các khoản vốn vay dài hạn khác</t>
  </si>
  <si>
    <t>- Tiền chi thanh toán giấy tờ có giá dài hạn có đủ điều kiện tính vào vốn tự có và các khoản vốn vay dài hạn khác</t>
  </si>
  <si>
    <t>- Cổ tức trả cho cổ đông, lợi nhuận đã chia</t>
  </si>
  <si>
    <t>- Tiền chi ra mua cổ phiếu ngân quỹ</t>
  </si>
  <si>
    <t>- Tiền thu được do bán cổ phiếu ngân quỹ</t>
  </si>
  <si>
    <t>Lưu chuyển tiền từ hoạt động tài chính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</si>
  <si>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</si>
  <si>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</si>
  <si>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</si>
  <si>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</si>
  <si>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Unreconciled Adjustments</t>
  </si>
  <si>
    <t>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</si>
</sst>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Alignment="1">
      <alignment horizontal="right" vertical="center" wrapText="1"/>
    </xf>
    <xf numFmtId="0" fontId="2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left" wrapText="1" indent="7"/>
    </xf>
    <xf numFmtId="3" fontId="1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left" wrapText="1" indent="4"/>
    </xf>
    <xf numFmtId="0" fontId="2" fillId="0" borderId="0" xfId="0" applyFont="1" applyFill="1" applyAlignment="1">
      <alignment horizontal="left" wrapText="1" indent="9"/>
    </xf>
    <xf numFmtId="3" fontId="2" fillId="0" borderId="0" xfId="0" applyNumberFormat="1" applyFont="1" applyFill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left" wrapText="1" indent="3"/>
    </xf>
    <xf numFmtId="3" fontId="1" fillId="0" borderId="0" xfId="0" applyNumberFormat="1" applyFont="1"/>
    <xf numFmtId="0" fontId="1" fillId="0" borderId="0" xfId="0" applyFont="1" applyFill="1"/>
    <xf numFmtId="0" fontId="1" fillId="0" borderId="0" xfId="0" applyFont="1" applyFill="1" applyAlignment="1">
      <alignment horizontal="left" wrapText="1" indent="9"/>
    </xf>
    <xf numFmtId="0" fontId="1" fillId="0" borderId="0" xfId="0" applyFont="1" applyFill="1" applyAlignment="1">
      <alignment horizontal="left" wrapText="1" indent="6"/>
    </xf>
    <xf numFmtId="0" fontId="1" fillId="0" borderId="0" xfId="0" applyFont="1" applyFill="1" applyAlignment="1">
      <alignment horizontal="left" wrapText="1" indent="11"/>
    </xf>
    <xf numFmtId="3" fontId="1" fillId="0" borderId="0" xfId="0" applyNumberFormat="1" applyFont="1" applyFill="1"/>
    <xf numFmtId="0" fontId="1" fillId="0" borderId="0" xfId="0" applyNumberFormat="1" applyFont="1" applyFill="1" applyAlignment="1">
      <alignment horizontal="right" wrapText="1"/>
    </xf>
    <xf numFmtId="0" fontId="2" fillId="0" borderId="0" xfId="0" applyNumberFormat="1" applyFont="1" applyFill="1" applyAlignment="1">
      <alignment horizontal="right" wrapText="1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6"/>
  <sheetViews>
    <sheetView tabSelected="1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Q33" sqref="Q33"/>
    </sheetView>
  </sheetViews>
  <sheetFormatPr defaultColWidth="4.375" defaultRowHeight="15" x14ac:dyDescent="0.25"/>
  <cols>
    <col min="1" max="1" width="83.625" style="13" bestFit="1" customWidth="1"/>
    <col min="2" max="16" width="12.75" style="13" hidden="1" customWidth="1"/>
    <col min="17" max="53" width="12.75" style="13" bestFit="1" customWidth="1"/>
    <col min="54" max="58" width="14.75" style="13" bestFit="1" customWidth="1"/>
    <col min="59" max="16384" width="4.375" style="13"/>
  </cols>
  <sheetData>
    <row r="1" spans="1:5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  <c r="AS1" s="1" t="s">
        <v>106</v>
      </c>
      <c r="AT1" s="1" t="s">
        <v>107</v>
      </c>
      <c r="AU1" s="1" t="s">
        <v>108</v>
      </c>
      <c r="AV1" s="1" t="s">
        <v>109</v>
      </c>
      <c r="AW1" s="1" t="s">
        <v>110</v>
      </c>
      <c r="AX1" s="1" t="s">
        <v>111</v>
      </c>
      <c r="AY1" s="1" t="s">
        <v>112</v>
      </c>
      <c r="AZ1" s="1" t="s">
        <v>113</v>
      </c>
      <c r="BA1" s="1" t="s">
        <v>114</v>
      </c>
      <c r="BB1" s="1" t="s">
        <v>115</v>
      </c>
      <c r="BC1" s="1" t="s">
        <v>116</v>
      </c>
      <c r="BD1" s="1" t="s">
        <v>117</v>
      </c>
      <c r="BE1" s="1" t="s">
        <v>125</v>
      </c>
      <c r="BF1" s="1" t="s">
        <v>126</v>
      </c>
    </row>
    <row r="2" spans="1:58" x14ac:dyDescent="0.25">
      <c r="A2" s="3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58" x14ac:dyDescent="0.25">
      <c r="A3" s="5" t="s">
        <v>6</v>
      </c>
      <c r="B3" s="6">
        <v>4316209</v>
      </c>
      <c r="C3" s="6">
        <v>5115002</v>
      </c>
      <c r="D3" s="6">
        <v>4529185</v>
      </c>
      <c r="E3" s="6">
        <v>3668756</v>
      </c>
      <c r="F3" s="6">
        <v>2999020</v>
      </c>
      <c r="G3" s="6">
        <v>2421326</v>
      </c>
      <c r="H3" s="6">
        <v>2291494</v>
      </c>
      <c r="I3" s="6">
        <v>2123003</v>
      </c>
      <c r="J3" s="6">
        <v>2468550</v>
      </c>
      <c r="K3" s="6">
        <v>2277040</v>
      </c>
      <c r="L3" s="6">
        <v>2723641</v>
      </c>
      <c r="M3" s="6">
        <v>2495142</v>
      </c>
      <c r="N3" s="6">
        <v>2558814</v>
      </c>
      <c r="O3" s="6">
        <v>2758479</v>
      </c>
      <c r="P3" s="6">
        <v>2754299</v>
      </c>
      <c r="Q3" s="6">
        <v>2749837</v>
      </c>
      <c r="R3" s="6">
        <v>2840093</v>
      </c>
      <c r="S3" s="6">
        <v>2930231</v>
      </c>
      <c r="T3" s="6">
        <v>2956708</v>
      </c>
      <c r="U3" s="6">
        <v>3179218</v>
      </c>
      <c r="V3" s="6">
        <v>2872547</v>
      </c>
      <c r="W3" s="6">
        <v>3137121</v>
      </c>
      <c r="X3" s="6">
        <v>2344362</v>
      </c>
      <c r="Y3" s="6">
        <v>3670967</v>
      </c>
      <c r="Z3" s="6">
        <v>3590328</v>
      </c>
      <c r="AA3" s="6">
        <v>4041877</v>
      </c>
      <c r="AB3" s="6">
        <v>2606467</v>
      </c>
      <c r="AC3" s="6">
        <v>4784978</v>
      </c>
      <c r="AD3" s="6">
        <v>5033905</v>
      </c>
      <c r="AE3" s="6">
        <v>5409433</v>
      </c>
      <c r="AF3" s="6">
        <v>4820627</v>
      </c>
      <c r="AG3" s="6">
        <v>4150743</v>
      </c>
      <c r="AH3" s="6">
        <v>4106425</v>
      </c>
      <c r="AI3" s="6">
        <v>4205407</v>
      </c>
      <c r="AJ3" s="6">
        <v>3663615</v>
      </c>
      <c r="AK3" s="6">
        <v>4272683</v>
      </c>
      <c r="AL3" s="6">
        <v>3553612</v>
      </c>
      <c r="AM3" s="6">
        <v>3303309</v>
      </c>
      <c r="AN3" s="6">
        <v>3578643</v>
      </c>
      <c r="AO3" s="6">
        <v>3276768</v>
      </c>
      <c r="AP3" s="6">
        <v>3204430</v>
      </c>
      <c r="AQ3" s="6">
        <v>3025551</v>
      </c>
      <c r="AR3" s="6">
        <v>4215721</v>
      </c>
      <c r="AS3" s="6">
        <v>2852199</v>
      </c>
      <c r="AT3" s="6">
        <v>3112603</v>
      </c>
      <c r="AU3" s="6">
        <v>3505804</v>
      </c>
      <c r="AV3" s="6">
        <v>3620695</v>
      </c>
      <c r="AW3" s="6">
        <v>3665067</v>
      </c>
      <c r="AX3" s="6">
        <v>3638265</v>
      </c>
      <c r="AY3" s="6">
        <v>3608503</v>
      </c>
      <c r="AZ3" s="6">
        <v>3384770</v>
      </c>
      <c r="BA3" s="6">
        <v>3789947</v>
      </c>
      <c r="BB3" s="6">
        <v>3666435</v>
      </c>
      <c r="BC3" s="6">
        <v>4045689</v>
      </c>
      <c r="BD3" s="6">
        <v>4360821</v>
      </c>
      <c r="BE3" s="6">
        <v>5467700</v>
      </c>
      <c r="BF3" s="6">
        <v>3909425</v>
      </c>
    </row>
    <row r="4" spans="1:58" x14ac:dyDescent="0.25">
      <c r="A4" s="5" t="s">
        <v>7</v>
      </c>
      <c r="B4" s="6">
        <v>2752951</v>
      </c>
      <c r="C4" s="6">
        <v>4465664</v>
      </c>
      <c r="D4" s="6">
        <v>5576747</v>
      </c>
      <c r="E4" s="6">
        <v>3753377</v>
      </c>
      <c r="F4" s="6">
        <v>5446726</v>
      </c>
      <c r="G4" s="6">
        <v>3770460</v>
      </c>
      <c r="H4" s="6">
        <v>2830794</v>
      </c>
      <c r="I4" s="6">
        <v>699482</v>
      </c>
      <c r="J4" s="6">
        <v>2066522</v>
      </c>
      <c r="K4" s="6">
        <v>2734995</v>
      </c>
      <c r="L4" s="6">
        <v>1168265</v>
      </c>
      <c r="M4" s="6">
        <v>4652153</v>
      </c>
      <c r="N4" s="6">
        <v>1279360</v>
      </c>
      <c r="O4" s="6">
        <v>3895865</v>
      </c>
      <c r="P4" s="6">
        <v>1602619</v>
      </c>
      <c r="Q4" s="6">
        <v>4216737</v>
      </c>
      <c r="R4" s="6">
        <v>3432747</v>
      </c>
      <c r="S4" s="6">
        <v>6018991</v>
      </c>
      <c r="T4" s="6">
        <v>2533875</v>
      </c>
      <c r="U4" s="6">
        <v>4127426</v>
      </c>
      <c r="V4" s="6">
        <v>7044002</v>
      </c>
      <c r="W4" s="6">
        <v>3604657</v>
      </c>
      <c r="X4" s="6">
        <v>4317924</v>
      </c>
      <c r="Y4" s="6">
        <v>3523522</v>
      </c>
      <c r="Z4" s="6">
        <v>3211552</v>
      </c>
      <c r="AA4" s="6">
        <v>5582643</v>
      </c>
      <c r="AB4" s="6">
        <v>10555483</v>
      </c>
      <c r="AC4" s="6">
        <v>5329967</v>
      </c>
      <c r="AD4" s="6">
        <v>9326009</v>
      </c>
      <c r="AE4" s="6">
        <v>6563740</v>
      </c>
      <c r="AF4" s="6">
        <v>3192256</v>
      </c>
      <c r="AG4" s="6">
        <v>5284207</v>
      </c>
      <c r="AH4" s="6">
        <v>8844670</v>
      </c>
      <c r="AI4" s="6">
        <v>9728941</v>
      </c>
      <c r="AJ4" s="6">
        <v>10253324</v>
      </c>
      <c r="AK4" s="6">
        <v>1764015</v>
      </c>
      <c r="AL4" s="6">
        <v>4404948</v>
      </c>
      <c r="AM4" s="6">
        <v>3395192</v>
      </c>
      <c r="AN4" s="6">
        <v>4908529</v>
      </c>
      <c r="AO4" s="6">
        <v>8999152</v>
      </c>
      <c r="AP4" s="6">
        <v>4813822</v>
      </c>
      <c r="AQ4" s="6">
        <v>4708805</v>
      </c>
      <c r="AR4" s="6">
        <v>11475590</v>
      </c>
      <c r="AS4" s="6">
        <v>15834434</v>
      </c>
      <c r="AT4" s="6">
        <v>7860356</v>
      </c>
      <c r="AU4" s="6">
        <v>27428542</v>
      </c>
      <c r="AV4" s="6">
        <v>27140592</v>
      </c>
      <c r="AW4" s="6">
        <v>13587719</v>
      </c>
      <c r="AX4" s="6">
        <v>28055094</v>
      </c>
      <c r="AY4" s="6">
        <v>40614749</v>
      </c>
      <c r="AZ4" s="6">
        <v>54353153</v>
      </c>
      <c r="BA4" s="6">
        <v>62698992</v>
      </c>
      <c r="BB4" s="6">
        <v>48485657</v>
      </c>
      <c r="BC4" s="6">
        <v>77586460</v>
      </c>
      <c r="BD4" s="6">
        <v>82162772</v>
      </c>
      <c r="BE4" s="6">
        <v>93007358</v>
      </c>
      <c r="BF4" s="6">
        <v>95127975</v>
      </c>
    </row>
    <row r="5" spans="1:58" x14ac:dyDescent="0.25">
      <c r="A5" s="5" t="s">
        <v>8</v>
      </c>
      <c r="B5" s="4"/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/>
      <c r="AM5" s="4">
        <v>0</v>
      </c>
      <c r="AN5" s="4"/>
      <c r="AO5" s="4">
        <v>0</v>
      </c>
      <c r="AP5" s="4"/>
      <c r="AQ5" s="4"/>
      <c r="AR5" s="4"/>
      <c r="AS5" s="4">
        <v>0</v>
      </c>
      <c r="AT5" s="4"/>
      <c r="AU5" s="4"/>
      <c r="AV5" s="4">
        <v>0</v>
      </c>
      <c r="AW5" s="4"/>
      <c r="AX5" s="4"/>
      <c r="AY5" s="4"/>
      <c r="AZ5" s="4"/>
      <c r="BA5" s="4"/>
      <c r="BB5" s="4"/>
      <c r="BC5" s="4"/>
      <c r="BD5" s="4">
        <v>0</v>
      </c>
      <c r="BE5" s="4"/>
      <c r="BF5" s="4"/>
    </row>
    <row r="6" spans="1:58" x14ac:dyDescent="0.25">
      <c r="A6" s="7" t="s">
        <v>9</v>
      </c>
      <c r="B6" s="6">
        <v>46831156</v>
      </c>
      <c r="C6" s="6">
        <v>43190766</v>
      </c>
      <c r="D6" s="6">
        <v>31256256</v>
      </c>
      <c r="E6" s="6">
        <v>25109332</v>
      </c>
      <c r="F6" s="6">
        <v>25680753</v>
      </c>
      <c r="G6" s="6">
        <v>27103991</v>
      </c>
      <c r="H6" s="6">
        <v>15420747</v>
      </c>
      <c r="I6" s="6">
        <v>13972496</v>
      </c>
      <c r="J6" s="6">
        <v>16532740</v>
      </c>
      <c r="K6" s="6">
        <v>17878838</v>
      </c>
      <c r="L6" s="6">
        <v>18922460</v>
      </c>
      <c r="M6" s="6">
        <v>17542923</v>
      </c>
      <c r="N6" s="6">
        <v>19272182</v>
      </c>
      <c r="O6" s="6">
        <v>13174513</v>
      </c>
      <c r="P6" s="6">
        <v>14762009</v>
      </c>
      <c r="Q6" s="6">
        <v>17001626</v>
      </c>
      <c r="R6" s="6">
        <v>18010991</v>
      </c>
      <c r="S6" s="6">
        <v>12184342</v>
      </c>
      <c r="T6" s="6">
        <v>21598874</v>
      </c>
      <c r="U6" s="6">
        <v>21196358</v>
      </c>
      <c r="V6" s="6">
        <v>21188679</v>
      </c>
      <c r="W6" s="6">
        <v>21637346</v>
      </c>
      <c r="X6" s="6">
        <v>30117314</v>
      </c>
      <c r="Y6" s="6">
        <v>31985206</v>
      </c>
      <c r="Z6" s="6">
        <v>51321690</v>
      </c>
      <c r="AA6" s="6">
        <v>43737213</v>
      </c>
      <c r="AB6" s="6">
        <v>35616169</v>
      </c>
      <c r="AC6" s="6">
        <v>45810418</v>
      </c>
      <c r="AD6" s="6">
        <v>42787014</v>
      </c>
      <c r="AE6" s="6">
        <v>43304052</v>
      </c>
      <c r="AF6" s="6">
        <v>47990224</v>
      </c>
      <c r="AG6" s="6">
        <v>30990383</v>
      </c>
      <c r="AH6" s="6">
        <v>45284968</v>
      </c>
      <c r="AI6" s="6">
        <v>26597264</v>
      </c>
      <c r="AJ6" s="6">
        <v>28994954</v>
      </c>
      <c r="AK6" s="6">
        <v>38361058</v>
      </c>
      <c r="AL6" s="6">
        <v>52084900</v>
      </c>
      <c r="AM6" s="6">
        <v>77627953</v>
      </c>
      <c r="AN6" s="6">
        <v>70584154</v>
      </c>
      <c r="AO6" s="6">
        <v>72530371</v>
      </c>
      <c r="AP6" s="6">
        <v>72130842</v>
      </c>
      <c r="AQ6" s="6">
        <v>72296806</v>
      </c>
      <c r="AR6" s="6">
        <v>82873754</v>
      </c>
      <c r="AS6" s="6">
        <v>66839068</v>
      </c>
      <c r="AT6" s="6">
        <v>71193282</v>
      </c>
      <c r="AU6" s="6">
        <v>69386021</v>
      </c>
      <c r="AV6" s="6">
        <v>104072320</v>
      </c>
      <c r="AW6" s="6">
        <v>89074540</v>
      </c>
      <c r="AX6" s="6">
        <v>88903726</v>
      </c>
      <c r="AY6" s="6">
        <v>90014293</v>
      </c>
      <c r="AZ6" s="6">
        <v>84590474</v>
      </c>
      <c r="BA6" s="6">
        <v>81883430</v>
      </c>
      <c r="BB6" s="6">
        <v>80845693</v>
      </c>
      <c r="BC6" s="6">
        <v>92999089</v>
      </c>
      <c r="BD6" s="6">
        <v>114958312</v>
      </c>
      <c r="BE6" s="6">
        <v>87777341</v>
      </c>
      <c r="BF6" s="6">
        <v>85416520</v>
      </c>
    </row>
    <row r="7" spans="1:58" x14ac:dyDescent="0.25">
      <c r="A7" s="14" t="s">
        <v>10</v>
      </c>
      <c r="B7" s="6">
        <v>46829156</v>
      </c>
      <c r="C7" s="6">
        <v>43190766</v>
      </c>
      <c r="D7" s="6">
        <v>21113534</v>
      </c>
      <c r="E7" s="6">
        <v>22030209</v>
      </c>
      <c r="F7" s="6">
        <v>24336803</v>
      </c>
      <c r="G7" s="6">
        <v>24707138</v>
      </c>
      <c r="H7" s="6">
        <v>11856655</v>
      </c>
      <c r="I7" s="6">
        <v>8608619</v>
      </c>
      <c r="J7" s="6">
        <v>9795327</v>
      </c>
      <c r="K7" s="6">
        <v>11504533</v>
      </c>
      <c r="L7" s="6">
        <v>9588234</v>
      </c>
      <c r="M7" s="6">
        <v>7003932</v>
      </c>
      <c r="N7" s="6">
        <v>8913054</v>
      </c>
      <c r="O7" s="6">
        <v>7407343</v>
      </c>
      <c r="P7" s="6">
        <v>7487472</v>
      </c>
      <c r="Q7" s="6">
        <v>6041706</v>
      </c>
      <c r="R7" s="6">
        <v>7615415</v>
      </c>
      <c r="S7" s="6">
        <v>4122546</v>
      </c>
      <c r="T7" s="6">
        <v>9058942</v>
      </c>
      <c r="U7" s="6">
        <v>10917980</v>
      </c>
      <c r="V7" s="6">
        <v>8753098</v>
      </c>
      <c r="W7" s="6">
        <v>10635569</v>
      </c>
      <c r="X7" s="6">
        <v>16204561</v>
      </c>
      <c r="Y7" s="6">
        <v>16917804</v>
      </c>
      <c r="Z7" s="6">
        <v>37976299</v>
      </c>
      <c r="AA7" s="6">
        <v>27666716</v>
      </c>
      <c r="AB7" s="6">
        <v>24226318</v>
      </c>
      <c r="AC7" s="6">
        <v>33454163</v>
      </c>
      <c r="AD7" s="6">
        <v>33025844</v>
      </c>
      <c r="AE7" s="6">
        <v>28819944</v>
      </c>
      <c r="AF7" s="6">
        <v>38596420</v>
      </c>
      <c r="AG7" s="6">
        <v>26563973</v>
      </c>
      <c r="AH7" s="6">
        <v>36014074</v>
      </c>
      <c r="AI7" s="6">
        <v>22303474</v>
      </c>
      <c r="AJ7" s="6">
        <v>21112630</v>
      </c>
      <c r="AK7" s="6">
        <v>22454030</v>
      </c>
      <c r="AL7" s="6">
        <v>31309624</v>
      </c>
      <c r="AM7" s="6">
        <v>51058282</v>
      </c>
      <c r="AN7" s="6">
        <v>39519623</v>
      </c>
      <c r="AO7" s="6">
        <v>58125835</v>
      </c>
      <c r="AP7" s="6">
        <v>57270411</v>
      </c>
      <c r="AQ7" s="6">
        <v>65183275</v>
      </c>
      <c r="AR7" s="6">
        <v>69925143</v>
      </c>
      <c r="AS7" s="6">
        <v>56674680</v>
      </c>
      <c r="AT7" s="6">
        <v>63214943</v>
      </c>
      <c r="AU7" s="6">
        <v>63434279</v>
      </c>
      <c r="AV7" s="6">
        <v>80126897</v>
      </c>
      <c r="AW7" s="6">
        <v>72791538</v>
      </c>
      <c r="AX7" s="6">
        <v>77099429</v>
      </c>
      <c r="AY7" s="6">
        <v>80586687</v>
      </c>
      <c r="AZ7" s="6">
        <v>74887085</v>
      </c>
      <c r="BA7" s="6">
        <v>72397423</v>
      </c>
      <c r="BB7" s="6">
        <v>71979339</v>
      </c>
      <c r="BC7" s="6">
        <v>78704346</v>
      </c>
      <c r="BD7" s="6">
        <v>108143393</v>
      </c>
      <c r="BE7" s="6">
        <v>82639508</v>
      </c>
      <c r="BF7" s="6">
        <v>72701055</v>
      </c>
    </row>
    <row r="8" spans="1:58" x14ac:dyDescent="0.25">
      <c r="A8" s="14" t="s">
        <v>11</v>
      </c>
      <c r="B8" s="6">
        <v>2000</v>
      </c>
      <c r="C8" s="4">
        <v>0</v>
      </c>
      <c r="D8" s="6">
        <v>10196333</v>
      </c>
      <c r="E8" s="6">
        <v>3112902</v>
      </c>
      <c r="F8" s="6">
        <v>1361889</v>
      </c>
      <c r="G8" s="6">
        <v>2409266</v>
      </c>
      <c r="H8" s="6">
        <v>3599224</v>
      </c>
      <c r="I8" s="6">
        <v>5392997</v>
      </c>
      <c r="J8" s="6">
        <v>6782095</v>
      </c>
      <c r="K8" s="6">
        <v>6473555</v>
      </c>
      <c r="L8" s="6">
        <v>9343996</v>
      </c>
      <c r="M8" s="6">
        <v>10548761</v>
      </c>
      <c r="N8" s="6">
        <v>10359128</v>
      </c>
      <c r="O8" s="6">
        <v>5767170</v>
      </c>
      <c r="P8" s="6">
        <v>7274537</v>
      </c>
      <c r="Q8" s="6">
        <v>10959920</v>
      </c>
      <c r="R8" s="6">
        <v>10395576</v>
      </c>
      <c r="S8" s="6">
        <v>8061796</v>
      </c>
      <c r="T8" s="6">
        <v>12539932</v>
      </c>
      <c r="U8" s="6">
        <v>10278378</v>
      </c>
      <c r="V8" s="6">
        <v>12435581</v>
      </c>
      <c r="W8" s="6">
        <v>11001777</v>
      </c>
      <c r="X8" s="6">
        <v>13912753</v>
      </c>
      <c r="Y8" s="6">
        <v>15067402</v>
      </c>
      <c r="Z8" s="6">
        <v>13345391</v>
      </c>
      <c r="AA8" s="6">
        <v>16070497</v>
      </c>
      <c r="AB8" s="6">
        <v>11389851</v>
      </c>
      <c r="AC8" s="6">
        <v>12356255</v>
      </c>
      <c r="AD8" s="6">
        <v>9761170</v>
      </c>
      <c r="AE8" s="6">
        <v>14484108</v>
      </c>
      <c r="AF8" s="6">
        <v>9393804</v>
      </c>
      <c r="AG8" s="6">
        <v>4426410</v>
      </c>
      <c r="AH8" s="6">
        <v>9270894</v>
      </c>
      <c r="AI8" s="6">
        <v>4293790</v>
      </c>
      <c r="AJ8" s="6">
        <v>7882324</v>
      </c>
      <c r="AK8" s="6">
        <v>15907028</v>
      </c>
      <c r="AL8" s="6">
        <v>20775276</v>
      </c>
      <c r="AM8" s="6">
        <v>26569671</v>
      </c>
      <c r="AN8" s="6">
        <v>31064531</v>
      </c>
      <c r="AO8" s="6">
        <v>14404536</v>
      </c>
      <c r="AP8" s="6">
        <v>14961531</v>
      </c>
      <c r="AQ8" s="6">
        <v>7214631</v>
      </c>
      <c r="AR8" s="6">
        <v>13049711</v>
      </c>
      <c r="AS8" s="6">
        <v>10265488</v>
      </c>
      <c r="AT8" s="6">
        <v>8079439</v>
      </c>
      <c r="AU8" s="6">
        <v>6052842</v>
      </c>
      <c r="AV8" s="6">
        <v>24046523</v>
      </c>
      <c r="AW8" s="6">
        <v>16384102</v>
      </c>
      <c r="AX8" s="6">
        <v>11909794</v>
      </c>
      <c r="AY8" s="6">
        <v>9607946</v>
      </c>
      <c r="AZ8" s="6">
        <v>9884539</v>
      </c>
      <c r="BA8" s="6">
        <v>9667157</v>
      </c>
      <c r="BB8" s="6">
        <v>9047504</v>
      </c>
      <c r="BC8" s="6">
        <v>14475893</v>
      </c>
      <c r="BD8" s="6">
        <v>6996069</v>
      </c>
      <c r="BE8" s="6">
        <v>5318983</v>
      </c>
      <c r="BF8" s="6">
        <v>12896615</v>
      </c>
    </row>
    <row r="9" spans="1:58" x14ac:dyDescent="0.25">
      <c r="A9" s="14" t="s">
        <v>12</v>
      </c>
      <c r="B9" s="4"/>
      <c r="C9" s="4">
        <v>0</v>
      </c>
      <c r="D9" s="6">
        <v>-53611</v>
      </c>
      <c r="E9" s="6">
        <v>-33779</v>
      </c>
      <c r="F9" s="6">
        <v>-17939</v>
      </c>
      <c r="G9" s="6">
        <v>-12413</v>
      </c>
      <c r="H9" s="6">
        <v>-35132</v>
      </c>
      <c r="I9" s="6">
        <v>-29120</v>
      </c>
      <c r="J9" s="6">
        <v>-44682</v>
      </c>
      <c r="K9" s="6">
        <v>-99250</v>
      </c>
      <c r="L9" s="6">
        <v>-9770</v>
      </c>
      <c r="M9" s="6">
        <v>-9770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/>
      <c r="AM9" s="4">
        <v>0</v>
      </c>
      <c r="AN9" s="4"/>
      <c r="AO9" s="4"/>
      <c r="AP9" s="6">
        <v>-101100</v>
      </c>
      <c r="AQ9" s="6">
        <v>-101100</v>
      </c>
      <c r="AR9" s="6">
        <v>-101100</v>
      </c>
      <c r="AS9" s="6">
        <v>-101100</v>
      </c>
      <c r="AT9" s="6">
        <v>-101100</v>
      </c>
      <c r="AU9" s="6">
        <v>-101100</v>
      </c>
      <c r="AV9" s="6">
        <v>-101100</v>
      </c>
      <c r="AW9" s="6">
        <v>-101100</v>
      </c>
      <c r="AX9" s="6">
        <v>-105497</v>
      </c>
      <c r="AY9" s="6">
        <v>-180340</v>
      </c>
      <c r="AZ9" s="6">
        <v>-181150</v>
      </c>
      <c r="BA9" s="6">
        <v>-181150</v>
      </c>
      <c r="BB9" s="6">
        <v>-181150</v>
      </c>
      <c r="BC9" s="6">
        <v>-181150</v>
      </c>
      <c r="BD9" s="6">
        <v>-181150</v>
      </c>
      <c r="BE9" s="6">
        <v>-181150</v>
      </c>
      <c r="BF9" s="6">
        <v>-181150</v>
      </c>
    </row>
    <row r="10" spans="1:58" x14ac:dyDescent="0.25">
      <c r="A10" s="7" t="s">
        <v>13</v>
      </c>
      <c r="B10" s="6">
        <v>488186</v>
      </c>
      <c r="C10" s="6">
        <v>283574</v>
      </c>
      <c r="D10" s="6">
        <v>768958</v>
      </c>
      <c r="E10" s="6">
        <v>1453802</v>
      </c>
      <c r="F10" s="6">
        <v>1460960</v>
      </c>
      <c r="G10" s="6">
        <v>996770</v>
      </c>
      <c r="H10" s="6">
        <v>919608</v>
      </c>
      <c r="I10" s="6">
        <v>1337300</v>
      </c>
      <c r="J10" s="6">
        <v>2443425</v>
      </c>
      <c r="K10" s="6">
        <v>1353834</v>
      </c>
      <c r="L10" s="6">
        <v>2086246</v>
      </c>
      <c r="M10" s="6">
        <v>1127416</v>
      </c>
      <c r="N10" s="6">
        <v>1788891</v>
      </c>
      <c r="O10" s="6">
        <v>4314243</v>
      </c>
      <c r="P10" s="6">
        <v>2591588</v>
      </c>
      <c r="Q10" s="6">
        <v>3202402</v>
      </c>
      <c r="R10" s="6">
        <v>4255770</v>
      </c>
      <c r="S10" s="6">
        <v>8018020</v>
      </c>
      <c r="T10" s="6">
        <v>8024620</v>
      </c>
      <c r="U10" s="6">
        <v>5174551</v>
      </c>
      <c r="V10" s="6">
        <v>8226308</v>
      </c>
      <c r="W10" s="6">
        <v>6326247</v>
      </c>
      <c r="X10" s="6">
        <v>6758094</v>
      </c>
      <c r="Y10" s="6">
        <v>3570608</v>
      </c>
      <c r="Z10" s="6">
        <v>7356386</v>
      </c>
      <c r="AA10" s="6">
        <v>5576396</v>
      </c>
      <c r="AB10" s="6">
        <v>7572229</v>
      </c>
      <c r="AC10" s="6">
        <v>5448576</v>
      </c>
      <c r="AD10" s="6">
        <v>3143477</v>
      </c>
      <c r="AE10" s="6">
        <v>6977978</v>
      </c>
      <c r="AF10" s="6">
        <v>10041556</v>
      </c>
      <c r="AG10" s="6">
        <v>10436754</v>
      </c>
      <c r="AH10" s="6">
        <v>9340287</v>
      </c>
      <c r="AI10" s="6">
        <v>10054880</v>
      </c>
      <c r="AJ10" s="6">
        <v>8347576</v>
      </c>
      <c r="AK10" s="6">
        <v>5509124</v>
      </c>
      <c r="AL10" s="6">
        <v>7579192</v>
      </c>
      <c r="AM10" s="6">
        <v>6080683</v>
      </c>
      <c r="AN10" s="6">
        <v>5070812</v>
      </c>
      <c r="AO10" s="6">
        <v>3699101</v>
      </c>
      <c r="AP10" s="6">
        <v>831875</v>
      </c>
      <c r="AQ10" s="6">
        <v>1434528</v>
      </c>
      <c r="AR10" s="6">
        <v>961034</v>
      </c>
      <c r="AS10" s="6">
        <v>78555</v>
      </c>
      <c r="AT10" s="6">
        <v>1719515</v>
      </c>
      <c r="AU10" s="6">
        <v>5130241</v>
      </c>
      <c r="AV10" s="6">
        <v>4432778</v>
      </c>
      <c r="AW10" s="6">
        <v>8967611</v>
      </c>
      <c r="AX10" s="6">
        <v>4142658</v>
      </c>
      <c r="AY10" s="6">
        <v>4524314</v>
      </c>
      <c r="AZ10" s="6">
        <v>9000644</v>
      </c>
      <c r="BA10" s="6">
        <v>2280383</v>
      </c>
      <c r="BB10" s="6">
        <v>4138394</v>
      </c>
      <c r="BC10" s="6">
        <v>3107148</v>
      </c>
      <c r="BD10" s="6">
        <v>4815777</v>
      </c>
      <c r="BE10" s="6">
        <v>462211</v>
      </c>
      <c r="BF10" s="6">
        <v>342780</v>
      </c>
    </row>
    <row r="11" spans="1:58" x14ac:dyDescent="0.25">
      <c r="A11" s="14" t="s">
        <v>14</v>
      </c>
      <c r="B11" s="6">
        <v>566608</v>
      </c>
      <c r="C11" s="6">
        <v>437134</v>
      </c>
      <c r="D11" s="6">
        <v>800370</v>
      </c>
      <c r="E11" s="6">
        <v>1469459</v>
      </c>
      <c r="F11" s="6">
        <v>1473850</v>
      </c>
      <c r="G11" s="6">
        <v>1012514</v>
      </c>
      <c r="H11" s="6">
        <v>921035</v>
      </c>
      <c r="I11" s="6">
        <v>1338687</v>
      </c>
      <c r="J11" s="6">
        <v>2448715</v>
      </c>
      <c r="K11" s="6">
        <v>1357741</v>
      </c>
      <c r="L11" s="6">
        <v>2089318</v>
      </c>
      <c r="M11" s="6">
        <v>1129356</v>
      </c>
      <c r="N11" s="6">
        <v>1797001</v>
      </c>
      <c r="O11" s="6">
        <v>4322223</v>
      </c>
      <c r="P11" s="6">
        <v>2600693</v>
      </c>
      <c r="Q11" s="6">
        <v>3210703</v>
      </c>
      <c r="R11" s="6">
        <v>4265157</v>
      </c>
      <c r="S11" s="6">
        <v>8028898</v>
      </c>
      <c r="T11" s="6">
        <v>8035905</v>
      </c>
      <c r="U11" s="6">
        <v>5181676</v>
      </c>
      <c r="V11" s="6">
        <v>8233111</v>
      </c>
      <c r="W11" s="6">
        <v>6334550</v>
      </c>
      <c r="X11" s="6">
        <v>6775118</v>
      </c>
      <c r="Y11" s="6">
        <v>3579184</v>
      </c>
      <c r="Z11" s="6">
        <v>7373729</v>
      </c>
      <c r="AA11" s="6">
        <v>5586683</v>
      </c>
      <c r="AB11" s="6">
        <v>7583090</v>
      </c>
      <c r="AC11" s="6">
        <v>5459556</v>
      </c>
      <c r="AD11" s="6">
        <v>3151232</v>
      </c>
      <c r="AE11" s="6">
        <v>6988338</v>
      </c>
      <c r="AF11" s="6">
        <v>10052963</v>
      </c>
      <c r="AG11" s="6">
        <v>10446156</v>
      </c>
      <c r="AH11" s="6">
        <v>9364565</v>
      </c>
      <c r="AI11" s="6">
        <v>10063292</v>
      </c>
      <c r="AJ11" s="6">
        <v>8357447</v>
      </c>
      <c r="AK11" s="6">
        <v>5521877</v>
      </c>
      <c r="AL11" s="6">
        <v>7594177</v>
      </c>
      <c r="AM11" s="6">
        <v>6116848</v>
      </c>
      <c r="AN11" s="6">
        <v>5074479</v>
      </c>
      <c r="AO11" s="6">
        <v>3757777</v>
      </c>
      <c r="AP11" s="6">
        <v>890551</v>
      </c>
      <c r="AQ11" s="6">
        <v>1435098</v>
      </c>
      <c r="AR11" s="6">
        <v>961034</v>
      </c>
      <c r="AS11" s="6">
        <v>78555</v>
      </c>
      <c r="AT11" s="6">
        <v>1719515</v>
      </c>
      <c r="AU11" s="6">
        <v>5130241</v>
      </c>
      <c r="AV11" s="6">
        <v>4432778</v>
      </c>
      <c r="AW11" s="6">
        <v>8967611</v>
      </c>
      <c r="AX11" s="6">
        <v>4142658</v>
      </c>
      <c r="AY11" s="6">
        <v>4524314</v>
      </c>
      <c r="AZ11" s="6">
        <v>9000895</v>
      </c>
      <c r="BA11" s="6">
        <v>2280761</v>
      </c>
      <c r="BB11" s="6">
        <v>4139215</v>
      </c>
      <c r="BC11" s="6">
        <v>3107429</v>
      </c>
      <c r="BD11" s="6">
        <v>4816831</v>
      </c>
      <c r="BE11" s="6">
        <v>462958</v>
      </c>
      <c r="BF11" s="6">
        <v>348048</v>
      </c>
    </row>
    <row r="12" spans="1:58" x14ac:dyDescent="0.25">
      <c r="A12" s="14" t="s">
        <v>15</v>
      </c>
      <c r="B12" s="6">
        <v>-78422</v>
      </c>
      <c r="C12" s="6">
        <v>-153560</v>
      </c>
      <c r="D12" s="6">
        <v>-31412</v>
      </c>
      <c r="E12" s="6">
        <v>-15657</v>
      </c>
      <c r="F12" s="6">
        <v>-12890</v>
      </c>
      <c r="G12" s="6">
        <v>-15744</v>
      </c>
      <c r="H12" s="6">
        <v>-1427</v>
      </c>
      <c r="I12" s="6">
        <v>-1387</v>
      </c>
      <c r="J12" s="6">
        <v>-5290</v>
      </c>
      <c r="K12" s="6">
        <v>-3907</v>
      </c>
      <c r="L12" s="6">
        <v>-3072</v>
      </c>
      <c r="M12" s="6">
        <v>-1940</v>
      </c>
      <c r="N12" s="6">
        <v>-8110</v>
      </c>
      <c r="O12" s="6">
        <v>-7980</v>
      </c>
      <c r="P12" s="6">
        <v>-9105</v>
      </c>
      <c r="Q12" s="6">
        <v>-8301</v>
      </c>
      <c r="R12" s="6">
        <v>-9387</v>
      </c>
      <c r="S12" s="6">
        <v>-10878</v>
      </c>
      <c r="T12" s="6">
        <v>-11285</v>
      </c>
      <c r="U12" s="6">
        <v>-7125</v>
      </c>
      <c r="V12" s="6">
        <v>-6803</v>
      </c>
      <c r="W12" s="6">
        <v>-8303</v>
      </c>
      <c r="X12" s="6">
        <v>-17024</v>
      </c>
      <c r="Y12" s="6">
        <v>-8576</v>
      </c>
      <c r="Z12" s="6">
        <v>-17343</v>
      </c>
      <c r="AA12" s="6">
        <v>-10287</v>
      </c>
      <c r="AB12" s="6">
        <v>-10861</v>
      </c>
      <c r="AC12" s="6">
        <v>-10980</v>
      </c>
      <c r="AD12" s="6">
        <v>-7755</v>
      </c>
      <c r="AE12" s="6">
        <v>-10360</v>
      </c>
      <c r="AF12" s="6">
        <v>-11407</v>
      </c>
      <c r="AG12" s="6">
        <v>-9402</v>
      </c>
      <c r="AH12" s="6">
        <v>-24278</v>
      </c>
      <c r="AI12" s="6">
        <v>-8412</v>
      </c>
      <c r="AJ12" s="6">
        <v>-9871</v>
      </c>
      <c r="AK12" s="6">
        <v>-12753</v>
      </c>
      <c r="AL12" s="6">
        <v>-14985</v>
      </c>
      <c r="AM12" s="6">
        <v>-36165</v>
      </c>
      <c r="AN12" s="6">
        <v>-3667</v>
      </c>
      <c r="AO12" s="6">
        <v>-58676</v>
      </c>
      <c r="AP12" s="6">
        <v>-58676</v>
      </c>
      <c r="AQ12" s="4">
        <v>-570</v>
      </c>
      <c r="AR12" s="4"/>
      <c r="AS12" s="4"/>
      <c r="AT12" s="4"/>
      <c r="AU12" s="4"/>
      <c r="AV12" s="4"/>
      <c r="AW12" s="4"/>
      <c r="AX12" s="4"/>
      <c r="AY12" s="4"/>
      <c r="AZ12" s="4">
        <v>-251</v>
      </c>
      <c r="BA12" s="4">
        <v>-378</v>
      </c>
      <c r="BB12" s="4">
        <v>-821</v>
      </c>
      <c r="BC12" s="4">
        <v>-281</v>
      </c>
      <c r="BD12" s="6">
        <v>-1054</v>
      </c>
      <c r="BE12" s="4">
        <v>-747</v>
      </c>
      <c r="BF12" s="6">
        <v>-5268</v>
      </c>
    </row>
    <row r="13" spans="1:58" x14ac:dyDescent="0.25">
      <c r="A13" s="5" t="s">
        <v>16</v>
      </c>
      <c r="B13" s="4"/>
      <c r="C13" s="6">
        <v>54272</v>
      </c>
      <c r="D13" s="6">
        <v>40868</v>
      </c>
      <c r="E13" s="6">
        <v>107210</v>
      </c>
      <c r="F13" s="6">
        <v>114352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6">
        <v>36344</v>
      </c>
      <c r="O13" s="6">
        <v>424241</v>
      </c>
      <c r="P13" s="6">
        <v>390929</v>
      </c>
      <c r="Q13" s="6">
        <v>370607</v>
      </c>
      <c r="R13" s="6">
        <v>323488</v>
      </c>
      <c r="S13" s="6">
        <v>302940</v>
      </c>
      <c r="T13" s="4">
        <v>0</v>
      </c>
      <c r="U13" s="6">
        <v>36722</v>
      </c>
      <c r="V13" s="6">
        <v>60048</v>
      </c>
      <c r="W13" s="6">
        <v>81560</v>
      </c>
      <c r="X13" s="6">
        <v>36292</v>
      </c>
      <c r="Y13" s="6">
        <v>113895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6">
        <v>51840</v>
      </c>
      <c r="AM13" s="6">
        <v>25202</v>
      </c>
      <c r="AN13" s="6">
        <v>293768</v>
      </c>
      <c r="AO13" s="6">
        <v>338956</v>
      </c>
      <c r="AP13" s="6">
        <v>61239</v>
      </c>
      <c r="AQ13" s="6">
        <v>243730</v>
      </c>
      <c r="AR13" s="4"/>
      <c r="AS13" s="4"/>
      <c r="AT13" s="6">
        <v>221603</v>
      </c>
      <c r="AU13" s="6">
        <v>1301270</v>
      </c>
      <c r="AV13" s="6">
        <v>143611</v>
      </c>
      <c r="AW13" s="6">
        <v>729249</v>
      </c>
      <c r="AX13" s="6">
        <v>170357</v>
      </c>
      <c r="AY13" s="6">
        <v>269237</v>
      </c>
      <c r="AZ13" s="4"/>
      <c r="BA13" s="4"/>
      <c r="BB13" s="4"/>
      <c r="BC13" s="4"/>
      <c r="BD13" s="4"/>
      <c r="BE13" s="4"/>
      <c r="BF13" s="4"/>
    </row>
    <row r="14" spans="1:58" x14ac:dyDescent="0.25">
      <c r="A14" s="7" t="s">
        <v>17</v>
      </c>
      <c r="B14" s="6">
        <v>52316862</v>
      </c>
      <c r="C14" s="6">
        <v>62562406</v>
      </c>
      <c r="D14" s="6">
        <v>67134007</v>
      </c>
      <c r="E14" s="6">
        <v>66988527</v>
      </c>
      <c r="F14" s="6">
        <v>68592952</v>
      </c>
      <c r="G14" s="6">
        <v>68405752</v>
      </c>
      <c r="H14" s="6">
        <v>69088680</v>
      </c>
      <c r="I14" s="6">
        <v>70582712</v>
      </c>
      <c r="J14" s="6">
        <v>72900054</v>
      </c>
      <c r="K14" s="6">
        <v>70532930</v>
      </c>
      <c r="L14" s="6">
        <v>79347790</v>
      </c>
      <c r="M14" s="6">
        <v>87612696</v>
      </c>
      <c r="N14" s="6">
        <v>89876695</v>
      </c>
      <c r="O14" s="6">
        <v>92796373</v>
      </c>
      <c r="P14" s="6">
        <v>110461365</v>
      </c>
      <c r="Q14" s="6">
        <v>112735810</v>
      </c>
      <c r="R14" s="6">
        <v>126309255</v>
      </c>
      <c r="S14" s="6">
        <v>134035933</v>
      </c>
      <c r="T14" s="6">
        <v>141120529</v>
      </c>
      <c r="U14" s="6">
        <v>136175111</v>
      </c>
      <c r="V14" s="6">
        <v>130158731</v>
      </c>
      <c r="W14" s="6">
        <v>135565473</v>
      </c>
      <c r="X14" s="6">
        <v>158964456</v>
      </c>
      <c r="Y14" s="6">
        <v>161610608</v>
      </c>
      <c r="Z14" s="6">
        <v>164180966</v>
      </c>
      <c r="AA14" s="6">
        <v>164282010</v>
      </c>
      <c r="AB14" s="6">
        <v>157556934</v>
      </c>
      <c r="AC14" s="6">
        <v>161272479</v>
      </c>
      <c r="AD14" s="6">
        <v>182887287</v>
      </c>
      <c r="AE14" s="6">
        <v>202462011</v>
      </c>
      <c r="AF14" s="6">
        <v>227885283</v>
      </c>
      <c r="AG14" s="6">
        <v>229037642</v>
      </c>
      <c r="AH14" s="6">
        <v>229385470</v>
      </c>
      <c r="AI14" s="6">
        <v>228667892</v>
      </c>
      <c r="AJ14" s="6">
        <v>275310367</v>
      </c>
      <c r="AK14" s="6">
        <v>293799393</v>
      </c>
      <c r="AL14" s="6">
        <v>310617819</v>
      </c>
      <c r="AM14" s="6">
        <v>317668922</v>
      </c>
      <c r="AN14" s="6">
        <v>343605581</v>
      </c>
      <c r="AO14" s="6">
        <v>361815215</v>
      </c>
      <c r="AP14" s="6">
        <v>387775129</v>
      </c>
      <c r="AQ14" s="6">
        <v>406148421</v>
      </c>
      <c r="AR14" s="6">
        <v>415752256</v>
      </c>
      <c r="AS14" s="6">
        <v>460145233</v>
      </c>
      <c r="AT14" s="6">
        <v>460753044</v>
      </c>
      <c r="AU14" s="6">
        <v>469588515</v>
      </c>
      <c r="AV14" s="6">
        <v>512513672</v>
      </c>
      <c r="AW14" s="6">
        <v>552577121</v>
      </c>
      <c r="AX14" s="6">
        <v>584713478</v>
      </c>
      <c r="AY14" s="6">
        <v>617924570</v>
      </c>
      <c r="AZ14" s="6">
        <v>623634271</v>
      </c>
      <c r="BA14" s="6">
        <v>655007208</v>
      </c>
      <c r="BB14" s="6">
        <v>700801926</v>
      </c>
      <c r="BC14" s="6">
        <v>756078003</v>
      </c>
      <c r="BD14" s="6">
        <v>757118751</v>
      </c>
      <c r="BE14" s="6">
        <v>785612530</v>
      </c>
      <c r="BF14" s="6">
        <v>835813283</v>
      </c>
    </row>
    <row r="15" spans="1:58" x14ac:dyDescent="0.25">
      <c r="A15" s="14" t="s">
        <v>18</v>
      </c>
      <c r="B15" s="6">
        <v>52927857</v>
      </c>
      <c r="C15" s="6">
        <v>63451465</v>
      </c>
      <c r="D15" s="6">
        <v>68261442</v>
      </c>
      <c r="E15" s="6">
        <v>68436218</v>
      </c>
      <c r="F15" s="6">
        <v>69864613</v>
      </c>
      <c r="G15" s="6">
        <v>69952157</v>
      </c>
      <c r="H15" s="6">
        <v>70274919</v>
      </c>
      <c r="I15" s="6">
        <v>71857595</v>
      </c>
      <c r="J15" s="6">
        <v>74021865</v>
      </c>
      <c r="K15" s="6">
        <v>71489015</v>
      </c>
      <c r="L15" s="6">
        <v>80307567</v>
      </c>
      <c r="M15" s="6">
        <v>88720498</v>
      </c>
      <c r="N15" s="6">
        <v>90899990</v>
      </c>
      <c r="O15" s="6">
        <v>93925185</v>
      </c>
      <c r="P15" s="6">
        <v>111625772</v>
      </c>
      <c r="Q15" s="6">
        <v>114024026</v>
      </c>
      <c r="R15" s="6">
        <v>127737163</v>
      </c>
      <c r="S15" s="6">
        <v>135601842</v>
      </c>
      <c r="T15" s="6">
        <v>142616004</v>
      </c>
      <c r="U15" s="6">
        <v>137746670</v>
      </c>
      <c r="V15" s="6">
        <v>131884341</v>
      </c>
      <c r="W15" s="6">
        <v>137372631</v>
      </c>
      <c r="X15" s="6">
        <v>160849037</v>
      </c>
      <c r="Y15" s="6">
        <v>163948354</v>
      </c>
      <c r="Z15" s="6">
        <v>166700421</v>
      </c>
      <c r="AA15" s="6">
        <v>166938850</v>
      </c>
      <c r="AB15" s="6">
        <v>159942048</v>
      </c>
      <c r="AC15" s="6">
        <v>163835435</v>
      </c>
      <c r="AD15" s="6">
        <v>185432165</v>
      </c>
      <c r="AE15" s="6">
        <v>205317032</v>
      </c>
      <c r="AF15" s="6">
        <v>230802027</v>
      </c>
      <c r="AG15" s="6">
        <v>232021072</v>
      </c>
      <c r="AH15" s="6">
        <v>231665787</v>
      </c>
      <c r="AI15" s="6">
        <v>230715706</v>
      </c>
      <c r="AJ15" s="6">
        <v>277524615</v>
      </c>
      <c r="AK15" s="6">
        <v>296290213</v>
      </c>
      <c r="AL15" s="6">
        <v>313513991</v>
      </c>
      <c r="AM15" s="6">
        <v>321042016</v>
      </c>
      <c r="AN15" s="6">
        <v>347341244</v>
      </c>
      <c r="AO15" s="6">
        <v>365742636</v>
      </c>
      <c r="AP15" s="6">
        <v>391823802</v>
      </c>
      <c r="AQ15" s="6">
        <v>410545854</v>
      </c>
      <c r="AR15" s="6">
        <v>420523705</v>
      </c>
      <c r="AS15" s="6">
        <v>465425345</v>
      </c>
      <c r="AT15" s="6">
        <v>466546217</v>
      </c>
      <c r="AU15" s="6">
        <v>475605589</v>
      </c>
      <c r="AV15" s="6">
        <v>518641568</v>
      </c>
      <c r="AW15" s="6">
        <v>559276885</v>
      </c>
      <c r="AX15" s="6">
        <v>592083271</v>
      </c>
      <c r="AY15" s="6">
        <v>626290777</v>
      </c>
      <c r="AZ15" s="6">
        <v>631724964</v>
      </c>
      <c r="BA15" s="6">
        <v>663692866</v>
      </c>
      <c r="BB15" s="6">
        <v>710313010</v>
      </c>
      <c r="BC15" s="6">
        <v>766709929</v>
      </c>
      <c r="BD15" s="6">
        <v>767617129</v>
      </c>
      <c r="BE15" s="6">
        <v>796863951</v>
      </c>
      <c r="BF15" s="6">
        <v>847335568</v>
      </c>
    </row>
    <row r="16" spans="1:58" x14ac:dyDescent="0.25">
      <c r="A16" s="14" t="s">
        <v>19</v>
      </c>
      <c r="B16" s="6">
        <v>-610995</v>
      </c>
      <c r="C16" s="6">
        <v>-889059</v>
      </c>
      <c r="D16" s="6">
        <v>-1127435</v>
      </c>
      <c r="E16" s="6">
        <v>-1447691</v>
      </c>
      <c r="F16" s="6">
        <v>-1271661</v>
      </c>
      <c r="G16" s="6">
        <v>-1546405</v>
      </c>
      <c r="H16" s="6">
        <v>-1186239</v>
      </c>
      <c r="I16" s="6">
        <v>-1274883</v>
      </c>
      <c r="J16" s="6">
        <v>-1121811</v>
      </c>
      <c r="K16" s="6">
        <v>-956085</v>
      </c>
      <c r="L16" s="6">
        <v>-959777</v>
      </c>
      <c r="M16" s="6">
        <v>-1107802</v>
      </c>
      <c r="N16" s="6">
        <v>-1023295</v>
      </c>
      <c r="O16" s="6">
        <v>-1128812</v>
      </c>
      <c r="P16" s="6">
        <v>-1164407</v>
      </c>
      <c r="Q16" s="6">
        <v>-1288216</v>
      </c>
      <c r="R16" s="6">
        <v>-1427908</v>
      </c>
      <c r="S16" s="6">
        <v>-1565909</v>
      </c>
      <c r="T16" s="6">
        <v>-1495475</v>
      </c>
      <c r="U16" s="6">
        <v>-1571559</v>
      </c>
      <c r="V16" s="6">
        <v>-1725610</v>
      </c>
      <c r="W16" s="6">
        <v>-1807158</v>
      </c>
      <c r="X16" s="6">
        <v>-1884581</v>
      </c>
      <c r="Y16" s="6">
        <v>-2337746</v>
      </c>
      <c r="Z16" s="6">
        <v>-2519455</v>
      </c>
      <c r="AA16" s="6">
        <v>-2656840</v>
      </c>
      <c r="AB16" s="6">
        <v>-2385114</v>
      </c>
      <c r="AC16" s="6">
        <v>-2562956</v>
      </c>
      <c r="AD16" s="6">
        <v>-2544878</v>
      </c>
      <c r="AE16" s="6">
        <v>-2855021</v>
      </c>
      <c r="AF16" s="6">
        <v>-2916744</v>
      </c>
      <c r="AG16" s="6">
        <v>-2983430</v>
      </c>
      <c r="AH16" s="6">
        <v>-2280317</v>
      </c>
      <c r="AI16" s="6">
        <v>-2047814</v>
      </c>
      <c r="AJ16" s="6">
        <v>-2214248</v>
      </c>
      <c r="AK16" s="6">
        <v>-2490820</v>
      </c>
      <c r="AL16" s="6">
        <v>-2896172</v>
      </c>
      <c r="AM16" s="6">
        <v>-3373094</v>
      </c>
      <c r="AN16" s="6">
        <v>-3735663</v>
      </c>
      <c r="AO16" s="6">
        <v>-3927421</v>
      </c>
      <c r="AP16" s="6">
        <v>-4048673</v>
      </c>
      <c r="AQ16" s="6">
        <v>-4397433</v>
      </c>
      <c r="AR16" s="6">
        <v>-4771449</v>
      </c>
      <c r="AS16" s="6">
        <v>-5280112</v>
      </c>
      <c r="AT16" s="6">
        <v>-5793173</v>
      </c>
      <c r="AU16" s="6">
        <v>-6017074</v>
      </c>
      <c r="AV16" s="6">
        <v>-6127896</v>
      </c>
      <c r="AW16" s="6">
        <v>-6699764</v>
      </c>
      <c r="AX16" s="6">
        <v>-7369793</v>
      </c>
      <c r="AY16" s="6">
        <v>-8366207</v>
      </c>
      <c r="AZ16" s="6">
        <v>-8090693</v>
      </c>
      <c r="BA16" s="6">
        <v>-8685658</v>
      </c>
      <c r="BB16" s="6">
        <v>-9511084</v>
      </c>
      <c r="BC16" s="6">
        <v>-10631926</v>
      </c>
      <c r="BD16" s="6">
        <v>-10498378</v>
      </c>
      <c r="BE16" s="6">
        <v>-11251421</v>
      </c>
      <c r="BF16" s="6">
        <v>-11522285</v>
      </c>
    </row>
    <row r="17" spans="1:58" x14ac:dyDescent="0.25">
      <c r="A17" s="7" t="s">
        <v>20</v>
      </c>
      <c r="B17" s="6">
        <v>31044804</v>
      </c>
      <c r="C17" s="6">
        <v>48342033</v>
      </c>
      <c r="D17" s="6">
        <v>46654293</v>
      </c>
      <c r="E17" s="6">
        <v>47466822</v>
      </c>
      <c r="F17" s="6">
        <v>43896829</v>
      </c>
      <c r="G17" s="6">
        <v>42953746</v>
      </c>
      <c r="H17" s="6">
        <v>49845591</v>
      </c>
      <c r="I17" s="6">
        <v>56410388</v>
      </c>
      <c r="J17" s="6">
        <v>56608057</v>
      </c>
      <c r="K17" s="6">
        <v>58443854</v>
      </c>
      <c r="L17" s="6">
        <v>54978730</v>
      </c>
      <c r="M17" s="6">
        <v>49442390</v>
      </c>
      <c r="N17" s="6">
        <v>43305457</v>
      </c>
      <c r="O17" s="6">
        <v>43017624</v>
      </c>
      <c r="P17" s="6">
        <v>44301594</v>
      </c>
      <c r="Q17" s="6">
        <v>45511559</v>
      </c>
      <c r="R17" s="6">
        <v>44120394</v>
      </c>
      <c r="S17" s="6">
        <v>44950032</v>
      </c>
      <c r="T17" s="6">
        <v>45674924</v>
      </c>
      <c r="U17" s="6">
        <v>49971879</v>
      </c>
      <c r="V17" s="6">
        <v>48199282</v>
      </c>
      <c r="W17" s="6">
        <v>47263703</v>
      </c>
      <c r="X17" s="6">
        <v>51542484</v>
      </c>
      <c r="Y17" s="6">
        <v>53509756</v>
      </c>
      <c r="Z17" s="6">
        <v>54618895</v>
      </c>
      <c r="AA17" s="6">
        <v>69000379</v>
      </c>
      <c r="AB17" s="6">
        <v>86512348</v>
      </c>
      <c r="AC17" s="6">
        <v>87619240</v>
      </c>
      <c r="AD17" s="6">
        <v>100234572</v>
      </c>
      <c r="AE17" s="6">
        <v>82568226</v>
      </c>
      <c r="AF17" s="6">
        <v>66054597</v>
      </c>
      <c r="AG17" s="6">
        <v>85389715</v>
      </c>
      <c r="AH17" s="6">
        <v>69556147</v>
      </c>
      <c r="AI17" s="6">
        <v>94911279</v>
      </c>
      <c r="AJ17" s="6">
        <v>84447241</v>
      </c>
      <c r="AK17" s="6">
        <v>85926193</v>
      </c>
      <c r="AL17" s="6">
        <v>87967956</v>
      </c>
      <c r="AM17" s="6">
        <v>93253518</v>
      </c>
      <c r="AN17" s="6">
        <v>97586088</v>
      </c>
      <c r="AO17" s="6">
        <v>120301385</v>
      </c>
      <c r="AP17" s="6">
        <v>97227579</v>
      </c>
      <c r="AQ17" s="6">
        <v>103225630</v>
      </c>
      <c r="AR17" s="6">
        <v>103651920</v>
      </c>
      <c r="AS17" s="6">
        <v>99071125</v>
      </c>
      <c r="AT17" s="6">
        <v>107847625</v>
      </c>
      <c r="AU17" s="6">
        <v>121243204</v>
      </c>
      <c r="AV17" s="6">
        <v>104993945</v>
      </c>
      <c r="AW17" s="6">
        <v>131188842</v>
      </c>
      <c r="AX17" s="6">
        <v>113677245</v>
      </c>
      <c r="AY17" s="6">
        <v>102135236</v>
      </c>
      <c r="AZ17" s="6">
        <v>148623636</v>
      </c>
      <c r="BA17" s="6">
        <v>124378656</v>
      </c>
      <c r="BB17" s="6">
        <v>146985597</v>
      </c>
      <c r="BC17" s="6">
        <v>139296462</v>
      </c>
      <c r="BD17" s="6">
        <v>145526404</v>
      </c>
      <c r="BE17" s="6">
        <v>141063971</v>
      </c>
      <c r="BF17" s="6">
        <v>179944154</v>
      </c>
    </row>
    <row r="18" spans="1:58" x14ac:dyDescent="0.25">
      <c r="A18" s="14" t="s">
        <v>21</v>
      </c>
      <c r="B18" s="6">
        <v>27133053</v>
      </c>
      <c r="C18" s="6">
        <v>43847690</v>
      </c>
      <c r="D18" s="6">
        <v>43895517</v>
      </c>
      <c r="E18" s="6">
        <v>45614811</v>
      </c>
      <c r="F18" s="6">
        <v>42462890</v>
      </c>
      <c r="G18" s="6">
        <v>42314102</v>
      </c>
      <c r="H18" s="6">
        <v>46169754</v>
      </c>
      <c r="I18" s="6">
        <v>52853644</v>
      </c>
      <c r="J18" s="6">
        <v>52927175</v>
      </c>
      <c r="K18" s="6">
        <v>54361154</v>
      </c>
      <c r="L18" s="6">
        <v>49704301</v>
      </c>
      <c r="M18" s="6">
        <v>44328407</v>
      </c>
      <c r="N18" s="6">
        <v>37594511</v>
      </c>
      <c r="O18" s="6">
        <v>37073377</v>
      </c>
      <c r="P18" s="6">
        <v>38528012</v>
      </c>
      <c r="Q18" s="6">
        <v>40204375</v>
      </c>
      <c r="R18" s="6">
        <v>38950046</v>
      </c>
      <c r="S18" s="6">
        <v>40001394</v>
      </c>
      <c r="T18" s="6">
        <v>38575369</v>
      </c>
      <c r="U18" s="6">
        <v>44038038</v>
      </c>
      <c r="V18" s="6">
        <v>40698747</v>
      </c>
      <c r="W18" s="6">
        <v>42223682</v>
      </c>
      <c r="X18" s="6">
        <v>46018398</v>
      </c>
      <c r="Y18" s="6">
        <v>47516807</v>
      </c>
      <c r="Z18" s="6">
        <v>50610244</v>
      </c>
      <c r="AA18" s="6">
        <v>53276405</v>
      </c>
      <c r="AB18" s="6">
        <v>66625261</v>
      </c>
      <c r="AC18" s="6">
        <v>72281089</v>
      </c>
      <c r="AD18" s="6">
        <v>86320020</v>
      </c>
      <c r="AE18" s="6">
        <v>74270714</v>
      </c>
      <c r="AF18" s="6">
        <v>66158709</v>
      </c>
      <c r="AG18" s="6">
        <v>85177290</v>
      </c>
      <c r="AH18" s="6">
        <v>69178849</v>
      </c>
      <c r="AI18" s="6">
        <v>95198963</v>
      </c>
      <c r="AJ18" s="6">
        <v>84632952</v>
      </c>
      <c r="AK18" s="6">
        <v>86274400</v>
      </c>
      <c r="AL18" s="6">
        <v>88243294</v>
      </c>
      <c r="AM18" s="6">
        <v>93660419</v>
      </c>
      <c r="AN18" s="6">
        <v>98092062</v>
      </c>
      <c r="AO18" s="6">
        <v>121309714</v>
      </c>
      <c r="AP18" s="6">
        <v>98035844</v>
      </c>
      <c r="AQ18" s="6">
        <v>103941897</v>
      </c>
      <c r="AR18" s="6">
        <v>104031921</v>
      </c>
      <c r="AS18" s="6">
        <v>99437382</v>
      </c>
      <c r="AT18" s="6">
        <v>108213465</v>
      </c>
      <c r="AU18" s="6">
        <v>121592338</v>
      </c>
      <c r="AV18" s="6">
        <v>105356248</v>
      </c>
      <c r="AW18" s="6">
        <v>131568267</v>
      </c>
      <c r="AX18" s="6">
        <v>114076318</v>
      </c>
      <c r="AY18" s="6">
        <v>97062825</v>
      </c>
      <c r="AZ18" s="6">
        <v>142202792</v>
      </c>
      <c r="BA18" s="6">
        <v>117928269</v>
      </c>
      <c r="BB18" s="6">
        <v>142072840</v>
      </c>
      <c r="BC18" s="6">
        <v>139654417</v>
      </c>
      <c r="BD18" s="6">
        <v>145942288</v>
      </c>
      <c r="BE18" s="6">
        <v>141480522</v>
      </c>
      <c r="BF18" s="6">
        <v>180698281</v>
      </c>
    </row>
    <row r="19" spans="1:58" x14ac:dyDescent="0.25">
      <c r="A19" s="14" t="s">
        <v>22</v>
      </c>
      <c r="B19" s="6">
        <v>3923251</v>
      </c>
      <c r="C19" s="6">
        <v>4519013</v>
      </c>
      <c r="D19" s="6">
        <v>3092452</v>
      </c>
      <c r="E19" s="6">
        <v>2145744</v>
      </c>
      <c r="F19" s="6">
        <v>1732594</v>
      </c>
      <c r="G19" s="6">
        <v>810481</v>
      </c>
      <c r="H19" s="6">
        <v>3693837</v>
      </c>
      <c r="I19" s="6">
        <v>3662576</v>
      </c>
      <c r="J19" s="6">
        <v>4203411</v>
      </c>
      <c r="K19" s="6">
        <v>4799778</v>
      </c>
      <c r="L19" s="6">
        <v>6197583</v>
      </c>
      <c r="M19" s="6">
        <v>6101127</v>
      </c>
      <c r="N19" s="6">
        <v>6695238</v>
      </c>
      <c r="O19" s="6">
        <v>6921830</v>
      </c>
      <c r="P19" s="6">
        <v>6902350</v>
      </c>
      <c r="Q19" s="6">
        <v>6573521</v>
      </c>
      <c r="R19" s="6">
        <v>6535460</v>
      </c>
      <c r="S19" s="6">
        <v>6439429</v>
      </c>
      <c r="T19" s="6">
        <v>8560113</v>
      </c>
      <c r="U19" s="6">
        <v>7769451</v>
      </c>
      <c r="V19" s="6">
        <v>7636755</v>
      </c>
      <c r="W19" s="6">
        <v>5206119</v>
      </c>
      <c r="X19" s="6">
        <v>5715484</v>
      </c>
      <c r="Y19" s="6">
        <v>6204863</v>
      </c>
      <c r="Z19" s="6">
        <v>4171200</v>
      </c>
      <c r="AA19" s="6">
        <v>15986200</v>
      </c>
      <c r="AB19" s="6">
        <v>20236200</v>
      </c>
      <c r="AC19" s="6">
        <v>15806200</v>
      </c>
      <c r="AD19" s="6">
        <v>14406200</v>
      </c>
      <c r="AE19" s="6">
        <v>8706200</v>
      </c>
      <c r="AF19" s="6">
        <v>202006</v>
      </c>
      <c r="AG19" s="6">
        <v>700000</v>
      </c>
      <c r="AH19" s="6">
        <v>700000</v>
      </c>
      <c r="AI19" s="6">
        <v>200000</v>
      </c>
      <c r="AJ19" s="6">
        <v>200000</v>
      </c>
      <c r="AK19" s="6">
        <v>200000</v>
      </c>
      <c r="AL19" s="6">
        <v>200000</v>
      </c>
      <c r="AM19" s="6">
        <v>200000</v>
      </c>
      <c r="AN19" s="6">
        <v>200000</v>
      </c>
      <c r="AO19" s="6">
        <v>200000</v>
      </c>
      <c r="AP19" s="4"/>
      <c r="AQ19" s="4"/>
      <c r="AR19" s="4"/>
      <c r="AS19" s="4"/>
      <c r="AT19" s="4"/>
      <c r="AU19" s="4">
        <v>0</v>
      </c>
      <c r="AV19" s="4"/>
      <c r="AW19" s="4">
        <v>0</v>
      </c>
      <c r="AX19" s="6">
        <v>-399073</v>
      </c>
      <c r="AY19" s="6">
        <v>5400000</v>
      </c>
      <c r="AZ19" s="6">
        <v>6900000</v>
      </c>
      <c r="BA19" s="6">
        <v>6900000</v>
      </c>
      <c r="BB19" s="6">
        <v>5400000</v>
      </c>
      <c r="BC19" s="4"/>
      <c r="BD19" s="4"/>
      <c r="BE19" s="4"/>
      <c r="BF19" s="4"/>
    </row>
    <row r="20" spans="1:58" x14ac:dyDescent="0.25">
      <c r="A20" s="14" t="s">
        <v>23</v>
      </c>
      <c r="B20" s="6">
        <v>-11500</v>
      </c>
      <c r="C20" s="6">
        <v>-24670</v>
      </c>
      <c r="D20" s="6">
        <v>-333676</v>
      </c>
      <c r="E20" s="6">
        <v>-293733</v>
      </c>
      <c r="F20" s="6">
        <v>-298655</v>
      </c>
      <c r="G20" s="6">
        <v>-170837</v>
      </c>
      <c r="H20" s="6">
        <v>-18000</v>
      </c>
      <c r="I20" s="6">
        <v>-105832</v>
      </c>
      <c r="J20" s="6">
        <v>-522529</v>
      </c>
      <c r="K20" s="6">
        <v>-717078</v>
      </c>
      <c r="L20" s="6">
        <v>-923154</v>
      </c>
      <c r="M20" s="6">
        <v>-987144</v>
      </c>
      <c r="N20" s="6">
        <v>-984292</v>
      </c>
      <c r="O20" s="6">
        <v>-977583</v>
      </c>
      <c r="P20" s="6">
        <v>-1128768</v>
      </c>
      <c r="Q20" s="6">
        <v>-1266337</v>
      </c>
      <c r="R20" s="6">
        <v>-1365112</v>
      </c>
      <c r="S20" s="6">
        <v>-1490791</v>
      </c>
      <c r="T20" s="6">
        <v>-1460558</v>
      </c>
      <c r="U20" s="6">
        <v>-1835610</v>
      </c>
      <c r="V20" s="6">
        <v>-136220</v>
      </c>
      <c r="W20" s="6">
        <v>-166098</v>
      </c>
      <c r="X20" s="6">
        <v>-191398</v>
      </c>
      <c r="Y20" s="6">
        <v>-211914</v>
      </c>
      <c r="Z20" s="6">
        <v>-162549</v>
      </c>
      <c r="AA20" s="6">
        <v>-262226</v>
      </c>
      <c r="AB20" s="6">
        <v>-349113</v>
      </c>
      <c r="AC20" s="6">
        <v>-468049</v>
      </c>
      <c r="AD20" s="6">
        <v>-491648</v>
      </c>
      <c r="AE20" s="6">
        <v>-408688</v>
      </c>
      <c r="AF20" s="6">
        <v>-306118</v>
      </c>
      <c r="AG20" s="6">
        <v>-487575</v>
      </c>
      <c r="AH20" s="6">
        <v>-322702</v>
      </c>
      <c r="AI20" s="6">
        <v>-487684</v>
      </c>
      <c r="AJ20" s="6">
        <v>-385711</v>
      </c>
      <c r="AK20" s="6">
        <v>-548207</v>
      </c>
      <c r="AL20" s="6">
        <v>-475338</v>
      </c>
      <c r="AM20" s="6">
        <v>-606901</v>
      </c>
      <c r="AN20" s="6">
        <v>-705974</v>
      </c>
      <c r="AO20" s="6">
        <v>-1208329</v>
      </c>
      <c r="AP20" s="6">
        <v>-808265</v>
      </c>
      <c r="AQ20" s="6">
        <v>-716267</v>
      </c>
      <c r="AR20" s="6">
        <v>-380001</v>
      </c>
      <c r="AS20" s="6">
        <v>-366257</v>
      </c>
      <c r="AT20" s="6">
        <v>-365840</v>
      </c>
      <c r="AU20" s="6">
        <v>-349134</v>
      </c>
      <c r="AV20" s="6">
        <v>-362303</v>
      </c>
      <c r="AW20" s="6">
        <v>-379425</v>
      </c>
      <c r="AX20" s="4"/>
      <c r="AY20" s="6">
        <v>-327589</v>
      </c>
      <c r="AZ20" s="6">
        <v>-479156</v>
      </c>
      <c r="BA20" s="6">
        <v>-449613</v>
      </c>
      <c r="BB20" s="6">
        <v>-487243</v>
      </c>
      <c r="BC20" s="6">
        <v>-357955</v>
      </c>
      <c r="BD20" s="6">
        <v>-415884</v>
      </c>
      <c r="BE20" s="6">
        <v>-416551</v>
      </c>
      <c r="BF20" s="6">
        <v>-754127</v>
      </c>
    </row>
    <row r="21" spans="1:58" x14ac:dyDescent="0.25">
      <c r="A21" s="7" t="s">
        <v>24</v>
      </c>
      <c r="B21" s="6">
        <v>69645</v>
      </c>
      <c r="C21" s="6">
        <v>76905</v>
      </c>
      <c r="D21" s="6">
        <v>92825</v>
      </c>
      <c r="E21" s="6">
        <v>92825</v>
      </c>
      <c r="F21" s="6">
        <v>92825</v>
      </c>
      <c r="G21" s="6">
        <v>129225</v>
      </c>
      <c r="H21" s="6">
        <v>128625</v>
      </c>
      <c r="I21" s="6">
        <v>124960</v>
      </c>
      <c r="J21" s="6">
        <v>123383</v>
      </c>
      <c r="K21" s="6">
        <v>123383</v>
      </c>
      <c r="L21" s="6">
        <v>693788</v>
      </c>
      <c r="M21" s="6">
        <v>639288</v>
      </c>
      <c r="N21" s="6">
        <v>633788</v>
      </c>
      <c r="O21" s="6">
        <v>597151</v>
      </c>
      <c r="P21" s="6">
        <v>597151</v>
      </c>
      <c r="Q21" s="6">
        <v>597151</v>
      </c>
      <c r="R21" s="6">
        <v>579686</v>
      </c>
      <c r="S21" s="6">
        <v>578494</v>
      </c>
      <c r="T21" s="6">
        <v>596239</v>
      </c>
      <c r="U21" s="6">
        <v>25384</v>
      </c>
      <c r="V21" s="6">
        <v>24115</v>
      </c>
      <c r="W21" s="6">
        <v>26743</v>
      </c>
      <c r="X21" s="6">
        <v>20015</v>
      </c>
      <c r="Y21" s="6">
        <v>9668</v>
      </c>
      <c r="Z21" s="6">
        <v>12223</v>
      </c>
      <c r="AA21" s="6">
        <v>12223</v>
      </c>
      <c r="AB21" s="6">
        <v>12223</v>
      </c>
      <c r="AC21" s="6">
        <v>12223</v>
      </c>
      <c r="AD21" s="6">
        <v>12223</v>
      </c>
      <c r="AE21" s="6">
        <v>12223</v>
      </c>
      <c r="AF21" s="6">
        <v>12223</v>
      </c>
      <c r="AG21" s="6">
        <v>12223</v>
      </c>
      <c r="AH21" s="6">
        <v>11806</v>
      </c>
      <c r="AI21" s="6">
        <v>11806</v>
      </c>
      <c r="AJ21" s="6">
        <v>11806</v>
      </c>
      <c r="AK21" s="6">
        <v>11806</v>
      </c>
      <c r="AL21" s="6">
        <v>12761</v>
      </c>
      <c r="AM21" s="6">
        <v>12813</v>
      </c>
      <c r="AN21" s="6">
        <v>12813</v>
      </c>
      <c r="AO21" s="6">
        <v>12813</v>
      </c>
      <c r="AP21" s="6">
        <v>133385</v>
      </c>
      <c r="AQ21" s="6">
        <v>130908</v>
      </c>
      <c r="AR21" s="6">
        <v>120538</v>
      </c>
      <c r="AS21" s="6">
        <v>118061</v>
      </c>
      <c r="AT21" s="6">
        <v>3141124</v>
      </c>
      <c r="AU21" s="6">
        <v>3141124</v>
      </c>
      <c r="AV21" s="6">
        <v>3128278</v>
      </c>
      <c r="AW21" s="6">
        <v>3128278</v>
      </c>
      <c r="AX21" s="6">
        <v>3367764</v>
      </c>
      <c r="AY21" s="6">
        <v>3362289</v>
      </c>
      <c r="AZ21" s="6">
        <v>3102523</v>
      </c>
      <c r="BA21" s="6">
        <v>3156386</v>
      </c>
      <c r="BB21" s="6">
        <v>3057806</v>
      </c>
      <c r="BC21" s="6">
        <v>3090646</v>
      </c>
      <c r="BD21" s="6">
        <v>3246622</v>
      </c>
      <c r="BE21" s="6">
        <v>3244347</v>
      </c>
      <c r="BF21" s="6">
        <v>3076756</v>
      </c>
    </row>
    <row r="22" spans="1:58" x14ac:dyDescent="0.25">
      <c r="A22" s="14" t="s">
        <v>25</v>
      </c>
      <c r="B22" s="4"/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/>
      <c r="AM22" s="4">
        <v>0</v>
      </c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</row>
    <row r="23" spans="1:58" x14ac:dyDescent="0.25">
      <c r="A23" s="14" t="s">
        <v>26</v>
      </c>
      <c r="B23" s="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/>
      <c r="AM23" s="4">
        <v>0</v>
      </c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</row>
    <row r="24" spans="1:58" x14ac:dyDescent="0.25">
      <c r="A24" s="14" t="s">
        <v>27</v>
      </c>
      <c r="B24" s="4"/>
      <c r="C24" s="6">
        <v>76905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/>
      <c r="AM24" s="4">
        <v>0</v>
      </c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6">
        <v>32840</v>
      </c>
      <c r="BD24" s="6">
        <v>32263</v>
      </c>
      <c r="BE24" s="6">
        <v>29988</v>
      </c>
      <c r="BF24" s="6">
        <v>27397</v>
      </c>
    </row>
    <row r="25" spans="1:58" x14ac:dyDescent="0.25">
      <c r="A25" s="14" t="s">
        <v>28</v>
      </c>
      <c r="B25" s="6">
        <v>69645</v>
      </c>
      <c r="C25" s="4">
        <v>0</v>
      </c>
      <c r="D25" s="6">
        <v>92825</v>
      </c>
      <c r="E25" s="6">
        <v>92825</v>
      </c>
      <c r="F25" s="6">
        <v>92825</v>
      </c>
      <c r="G25" s="6">
        <v>129225</v>
      </c>
      <c r="H25" s="6">
        <v>128625</v>
      </c>
      <c r="I25" s="6">
        <v>128625</v>
      </c>
      <c r="J25" s="6">
        <v>128625</v>
      </c>
      <c r="K25" s="6">
        <v>128625</v>
      </c>
      <c r="L25" s="6">
        <v>697630</v>
      </c>
      <c r="M25" s="6">
        <v>643130</v>
      </c>
      <c r="N25" s="6">
        <v>637630</v>
      </c>
      <c r="O25" s="6">
        <v>601230</v>
      </c>
      <c r="P25" s="6">
        <v>601230</v>
      </c>
      <c r="Q25" s="6">
        <v>601230</v>
      </c>
      <c r="R25" s="6">
        <v>584070</v>
      </c>
      <c r="S25" s="6">
        <v>583420</v>
      </c>
      <c r="T25" s="6">
        <v>601165</v>
      </c>
      <c r="U25" s="6">
        <v>30310</v>
      </c>
      <c r="V25" s="6">
        <v>29144</v>
      </c>
      <c r="W25" s="6">
        <v>29144</v>
      </c>
      <c r="X25" s="6">
        <v>22416</v>
      </c>
      <c r="Y25" s="6">
        <v>12084</v>
      </c>
      <c r="Z25" s="6">
        <v>12883</v>
      </c>
      <c r="AA25" s="6">
        <v>12883</v>
      </c>
      <c r="AB25" s="6">
        <v>12883</v>
      </c>
      <c r="AC25" s="6">
        <v>12883</v>
      </c>
      <c r="AD25" s="6">
        <v>12883</v>
      </c>
      <c r="AE25" s="6">
        <v>12883</v>
      </c>
      <c r="AF25" s="6">
        <v>12883</v>
      </c>
      <c r="AG25" s="6">
        <v>12883</v>
      </c>
      <c r="AH25" s="6">
        <v>12466</v>
      </c>
      <c r="AI25" s="6">
        <v>12466</v>
      </c>
      <c r="AJ25" s="6">
        <v>12466</v>
      </c>
      <c r="AK25" s="6">
        <v>12466</v>
      </c>
      <c r="AL25" s="6">
        <v>13910</v>
      </c>
      <c r="AM25" s="6">
        <v>13962</v>
      </c>
      <c r="AN25" s="6">
        <v>13962</v>
      </c>
      <c r="AO25" s="6">
        <v>13962</v>
      </c>
      <c r="AP25" s="6">
        <v>134534</v>
      </c>
      <c r="AQ25" s="6">
        <v>132057</v>
      </c>
      <c r="AR25" s="6">
        <v>121687</v>
      </c>
      <c r="AS25" s="6">
        <v>119210</v>
      </c>
      <c r="AT25" s="6">
        <v>3142273</v>
      </c>
      <c r="AU25" s="6">
        <v>3142273</v>
      </c>
      <c r="AV25" s="6">
        <v>3129427</v>
      </c>
      <c r="AW25" s="6">
        <v>3129427</v>
      </c>
      <c r="AX25" s="6">
        <v>3368913</v>
      </c>
      <c r="AY25" s="6">
        <v>3363438</v>
      </c>
      <c r="AZ25" s="6">
        <v>3103672</v>
      </c>
      <c r="BA25" s="6">
        <v>3157535</v>
      </c>
      <c r="BB25" s="6">
        <v>3058955</v>
      </c>
      <c r="BC25" s="6">
        <v>3058955</v>
      </c>
      <c r="BD25" s="6">
        <v>3215508</v>
      </c>
      <c r="BE25" s="6">
        <v>3215508</v>
      </c>
      <c r="BF25" s="6">
        <v>3050508</v>
      </c>
    </row>
    <row r="26" spans="1:58" x14ac:dyDescent="0.25">
      <c r="A26" s="14" t="s">
        <v>29</v>
      </c>
      <c r="B26" s="4"/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6">
        <v>-3665</v>
      </c>
      <c r="J26" s="6">
        <v>-5242</v>
      </c>
      <c r="K26" s="6">
        <v>-5242</v>
      </c>
      <c r="L26" s="6">
        <v>-3842</v>
      </c>
      <c r="M26" s="6">
        <v>-3842</v>
      </c>
      <c r="N26" s="6">
        <v>-3842</v>
      </c>
      <c r="O26" s="6">
        <v>-4079</v>
      </c>
      <c r="P26" s="6">
        <v>-4079</v>
      </c>
      <c r="Q26" s="6">
        <v>-4079</v>
      </c>
      <c r="R26" s="6">
        <v>-4384</v>
      </c>
      <c r="S26" s="6">
        <v>-4926</v>
      </c>
      <c r="T26" s="6">
        <v>-4926</v>
      </c>
      <c r="U26" s="6">
        <v>-4926</v>
      </c>
      <c r="V26" s="6">
        <v>-5029</v>
      </c>
      <c r="W26" s="6">
        <v>-2401</v>
      </c>
      <c r="X26" s="6">
        <v>-2401</v>
      </c>
      <c r="Y26" s="6">
        <v>-2416</v>
      </c>
      <c r="Z26" s="4">
        <v>-660</v>
      </c>
      <c r="AA26" s="4">
        <v>-660</v>
      </c>
      <c r="AB26" s="4">
        <v>-660</v>
      </c>
      <c r="AC26" s="4">
        <v>-660</v>
      </c>
      <c r="AD26" s="4">
        <v>-660</v>
      </c>
      <c r="AE26" s="4">
        <v>-660</v>
      </c>
      <c r="AF26" s="4">
        <v>-660</v>
      </c>
      <c r="AG26" s="4">
        <v>-660</v>
      </c>
      <c r="AH26" s="4">
        <v>-660</v>
      </c>
      <c r="AI26" s="4">
        <v>-660</v>
      </c>
      <c r="AJ26" s="4">
        <v>-660</v>
      </c>
      <c r="AK26" s="4">
        <v>-660</v>
      </c>
      <c r="AL26" s="6">
        <v>-1149</v>
      </c>
      <c r="AM26" s="6">
        <v>-1149</v>
      </c>
      <c r="AN26" s="6">
        <v>-1149</v>
      </c>
      <c r="AO26" s="6">
        <v>-1149</v>
      </c>
      <c r="AP26" s="6">
        <v>-1149</v>
      </c>
      <c r="AQ26" s="6">
        <v>-1149</v>
      </c>
      <c r="AR26" s="6">
        <v>-1149</v>
      </c>
      <c r="AS26" s="6">
        <v>-1149</v>
      </c>
      <c r="AT26" s="6">
        <v>-1149</v>
      </c>
      <c r="AU26" s="6">
        <v>-1149</v>
      </c>
      <c r="AV26" s="6">
        <v>-1149</v>
      </c>
      <c r="AW26" s="6">
        <v>-1149</v>
      </c>
      <c r="AX26" s="6">
        <v>-1149</v>
      </c>
      <c r="AY26" s="6">
        <v>-1149</v>
      </c>
      <c r="AZ26" s="6">
        <v>-1149</v>
      </c>
      <c r="BA26" s="6">
        <v>-1149</v>
      </c>
      <c r="BB26" s="6">
        <v>-1149</v>
      </c>
      <c r="BC26" s="6">
        <v>-1149</v>
      </c>
      <c r="BD26" s="6">
        <v>-1149</v>
      </c>
      <c r="BE26" s="6">
        <v>-1149</v>
      </c>
      <c r="BF26" s="6">
        <v>-1149</v>
      </c>
    </row>
    <row r="27" spans="1:58" x14ac:dyDescent="0.25">
      <c r="A27" s="7" t="s">
        <v>30</v>
      </c>
      <c r="B27" s="6">
        <v>1003907</v>
      </c>
      <c r="C27" s="6">
        <v>1191224</v>
      </c>
      <c r="D27" s="6">
        <v>1146424</v>
      </c>
      <c r="E27" s="6">
        <v>1125344</v>
      </c>
      <c r="F27" s="6">
        <v>1033275</v>
      </c>
      <c r="G27" s="6">
        <v>1069276</v>
      </c>
      <c r="H27" s="6">
        <v>1032737</v>
      </c>
      <c r="I27" s="6">
        <v>980697</v>
      </c>
      <c r="J27" s="6">
        <v>1022174</v>
      </c>
      <c r="K27" s="6">
        <v>995987</v>
      </c>
      <c r="L27" s="6">
        <v>1036505</v>
      </c>
      <c r="M27" s="6">
        <v>1011254</v>
      </c>
      <c r="N27" s="6">
        <v>975434</v>
      </c>
      <c r="O27" s="6">
        <v>930903</v>
      </c>
      <c r="P27" s="6">
        <v>882081</v>
      </c>
      <c r="Q27" s="6">
        <v>880075</v>
      </c>
      <c r="R27" s="6">
        <v>1562246</v>
      </c>
      <c r="S27" s="6">
        <v>1513275</v>
      </c>
      <c r="T27" s="6">
        <v>1582722</v>
      </c>
      <c r="U27" s="6">
        <v>1528651</v>
      </c>
      <c r="V27" s="6">
        <v>1473219</v>
      </c>
      <c r="W27" s="6">
        <v>1461354</v>
      </c>
      <c r="X27" s="6">
        <v>1511446</v>
      </c>
      <c r="Y27" s="6">
        <v>1482782</v>
      </c>
      <c r="Z27" s="6">
        <v>1488775</v>
      </c>
      <c r="AA27" s="6">
        <v>1586082</v>
      </c>
      <c r="AB27" s="6">
        <v>1718596</v>
      </c>
      <c r="AC27" s="6">
        <v>3104287</v>
      </c>
      <c r="AD27" s="6">
        <v>3438994</v>
      </c>
      <c r="AE27" s="6">
        <v>3504419</v>
      </c>
      <c r="AF27" s="6">
        <v>3207777</v>
      </c>
      <c r="AG27" s="6">
        <v>3493005</v>
      </c>
      <c r="AH27" s="6">
        <v>4126007</v>
      </c>
      <c r="AI27" s="6">
        <v>4272535</v>
      </c>
      <c r="AJ27" s="6">
        <v>4613423</v>
      </c>
      <c r="AK27" s="6">
        <v>4726319</v>
      </c>
      <c r="AL27" s="6">
        <v>6738801</v>
      </c>
      <c r="AM27" s="6">
        <v>7106005</v>
      </c>
      <c r="AN27" s="6">
        <v>7224480</v>
      </c>
      <c r="AO27" s="6">
        <v>7265245</v>
      </c>
      <c r="AP27" s="6">
        <v>7220361</v>
      </c>
      <c r="AQ27" s="6">
        <v>7281881</v>
      </c>
      <c r="AR27" s="6">
        <v>8411382</v>
      </c>
      <c r="AS27" s="6">
        <v>8274948</v>
      </c>
      <c r="AT27" s="6">
        <v>8742421</v>
      </c>
      <c r="AU27" s="6">
        <v>8572600</v>
      </c>
      <c r="AV27" s="6">
        <v>8892697</v>
      </c>
      <c r="AW27" s="6">
        <v>9258648</v>
      </c>
      <c r="AX27" s="6">
        <v>9626880</v>
      </c>
      <c r="AY27" s="6">
        <v>12752316</v>
      </c>
      <c r="AZ27" s="6">
        <v>12466885</v>
      </c>
      <c r="BA27" s="6">
        <v>12119671</v>
      </c>
      <c r="BB27" s="6">
        <v>12192892</v>
      </c>
      <c r="BC27" s="6">
        <v>12043529</v>
      </c>
      <c r="BD27" s="6">
        <v>12122934</v>
      </c>
      <c r="BE27" s="6">
        <v>11585812</v>
      </c>
      <c r="BF27" s="6">
        <v>12324755</v>
      </c>
    </row>
    <row r="28" spans="1:58" x14ac:dyDescent="0.25">
      <c r="A28" s="15" t="s">
        <v>31</v>
      </c>
      <c r="B28" s="6">
        <v>831259</v>
      </c>
      <c r="C28" s="6">
        <v>964923</v>
      </c>
      <c r="D28" s="6">
        <v>819766</v>
      </c>
      <c r="E28" s="6">
        <v>792666</v>
      </c>
      <c r="F28" s="6">
        <v>705858</v>
      </c>
      <c r="G28" s="6">
        <v>728086</v>
      </c>
      <c r="H28" s="6">
        <v>656656</v>
      </c>
      <c r="I28" s="6">
        <v>619702</v>
      </c>
      <c r="J28" s="6">
        <v>669673</v>
      </c>
      <c r="K28" s="6">
        <v>643419</v>
      </c>
      <c r="L28" s="6">
        <v>657032</v>
      </c>
      <c r="M28" s="6">
        <v>645359</v>
      </c>
      <c r="N28" s="6">
        <v>612269</v>
      </c>
      <c r="O28" s="6">
        <v>569095</v>
      </c>
      <c r="P28" s="6">
        <v>538147</v>
      </c>
      <c r="Q28" s="6">
        <v>501358</v>
      </c>
      <c r="R28" s="6">
        <v>607525</v>
      </c>
      <c r="S28" s="6">
        <v>571721</v>
      </c>
      <c r="T28" s="6">
        <v>576836</v>
      </c>
      <c r="U28" s="6">
        <v>543507</v>
      </c>
      <c r="V28" s="6">
        <v>510595</v>
      </c>
      <c r="W28" s="6">
        <v>501101</v>
      </c>
      <c r="X28" s="6">
        <v>569789</v>
      </c>
      <c r="Y28" s="6">
        <v>562082</v>
      </c>
      <c r="Z28" s="6">
        <v>590135</v>
      </c>
      <c r="AA28" s="6">
        <v>653352</v>
      </c>
      <c r="AB28" s="6">
        <v>788016</v>
      </c>
      <c r="AC28" s="6">
        <v>792161</v>
      </c>
      <c r="AD28" s="6">
        <v>1107511</v>
      </c>
      <c r="AE28" s="6">
        <v>1111035</v>
      </c>
      <c r="AF28" s="6">
        <v>793484</v>
      </c>
      <c r="AG28" s="6">
        <v>1071752</v>
      </c>
      <c r="AH28" s="6">
        <v>1148505</v>
      </c>
      <c r="AI28" s="6">
        <v>1184445</v>
      </c>
      <c r="AJ28" s="6">
        <v>1470942</v>
      </c>
      <c r="AK28" s="6">
        <v>1591916</v>
      </c>
      <c r="AL28" s="6">
        <v>3278175</v>
      </c>
      <c r="AM28" s="6">
        <v>3540181</v>
      </c>
      <c r="AN28" s="6">
        <v>3628729</v>
      </c>
      <c r="AO28" s="6">
        <v>3614371</v>
      </c>
      <c r="AP28" s="6">
        <v>3605711</v>
      </c>
      <c r="AQ28" s="6">
        <v>3527356</v>
      </c>
      <c r="AR28" s="6">
        <v>3696812</v>
      </c>
      <c r="AS28" s="6">
        <v>3655357</v>
      </c>
      <c r="AT28" s="6">
        <v>3726005</v>
      </c>
      <c r="AU28" s="6">
        <v>3610247</v>
      </c>
      <c r="AV28" s="6">
        <v>3527586</v>
      </c>
      <c r="AW28" s="6">
        <v>3593852</v>
      </c>
      <c r="AX28" s="6">
        <v>3669412</v>
      </c>
      <c r="AY28" s="6">
        <v>6974513</v>
      </c>
      <c r="AZ28" s="6">
        <v>6576699</v>
      </c>
      <c r="BA28" s="6">
        <v>6429947</v>
      </c>
      <c r="BB28" s="6">
        <v>6274097</v>
      </c>
      <c r="BC28" s="6">
        <v>6099861</v>
      </c>
      <c r="BD28" s="6">
        <v>6343732</v>
      </c>
      <c r="BE28" s="6">
        <v>6118592</v>
      </c>
      <c r="BF28" s="6">
        <v>6185743</v>
      </c>
    </row>
    <row r="29" spans="1:58" x14ac:dyDescent="0.25">
      <c r="A29" s="16" t="s">
        <v>36</v>
      </c>
      <c r="B29" s="6">
        <v>1041590</v>
      </c>
      <c r="C29" s="6">
        <v>1293920</v>
      </c>
      <c r="D29" s="6">
        <v>1271647</v>
      </c>
      <c r="E29" s="6">
        <v>1285899</v>
      </c>
      <c r="F29" s="6">
        <v>1177278</v>
      </c>
      <c r="G29" s="6">
        <v>1237101</v>
      </c>
      <c r="H29" s="6">
        <v>1234437</v>
      </c>
      <c r="I29" s="6">
        <v>1226367</v>
      </c>
      <c r="J29" s="6">
        <v>1312239</v>
      </c>
      <c r="K29" s="6">
        <v>1317009</v>
      </c>
      <c r="L29" s="6">
        <v>1361399</v>
      </c>
      <c r="M29" s="6">
        <v>1392172</v>
      </c>
      <c r="N29" s="6">
        <v>1397680</v>
      </c>
      <c r="O29" s="6">
        <v>1366783</v>
      </c>
      <c r="P29" s="6">
        <v>1341998</v>
      </c>
      <c r="Q29" s="6">
        <v>1341551</v>
      </c>
      <c r="R29" s="6">
        <v>1482238</v>
      </c>
      <c r="S29" s="6">
        <v>1482424</v>
      </c>
      <c r="T29" s="6">
        <v>1518287</v>
      </c>
      <c r="U29" s="6">
        <v>1518964</v>
      </c>
      <c r="V29" s="6">
        <v>1517945</v>
      </c>
      <c r="W29" s="6">
        <v>1530042</v>
      </c>
      <c r="X29" s="6">
        <v>1602956</v>
      </c>
      <c r="Y29" s="6">
        <v>1623479</v>
      </c>
      <c r="Z29" s="6">
        <v>1651663</v>
      </c>
      <c r="AA29" s="6">
        <v>1730445</v>
      </c>
      <c r="AB29" s="6">
        <v>1835272</v>
      </c>
      <c r="AC29" s="6">
        <v>1769873</v>
      </c>
      <c r="AD29" s="6">
        <v>2050650</v>
      </c>
      <c r="AE29" s="6">
        <v>2067498</v>
      </c>
      <c r="AF29" s="6">
        <v>1761468</v>
      </c>
      <c r="AG29" s="6">
        <v>2074905</v>
      </c>
      <c r="AH29" s="6">
        <v>1989411</v>
      </c>
      <c r="AI29" s="6">
        <v>2065130</v>
      </c>
      <c r="AJ29" s="6">
        <v>2416349</v>
      </c>
      <c r="AK29" s="6">
        <v>2595431</v>
      </c>
      <c r="AL29" s="6">
        <v>4299245</v>
      </c>
      <c r="AM29" s="6">
        <v>4598424</v>
      </c>
      <c r="AN29" s="6">
        <v>4824092</v>
      </c>
      <c r="AO29" s="6">
        <v>4820113</v>
      </c>
      <c r="AP29" s="6">
        <v>4913333</v>
      </c>
      <c r="AQ29" s="6">
        <v>4941976</v>
      </c>
      <c r="AR29" s="6">
        <v>5156346</v>
      </c>
      <c r="AS29" s="6">
        <v>5219842</v>
      </c>
      <c r="AT29" s="6">
        <v>5436276</v>
      </c>
      <c r="AU29" s="6">
        <v>5455081</v>
      </c>
      <c r="AV29" s="6">
        <v>5492566</v>
      </c>
      <c r="AW29" s="6">
        <v>5703862</v>
      </c>
      <c r="AX29" s="6">
        <v>5923748</v>
      </c>
      <c r="AY29" s="6">
        <v>9348348</v>
      </c>
      <c r="AZ29" s="6">
        <v>9080615</v>
      </c>
      <c r="BA29" s="6">
        <v>9111677</v>
      </c>
      <c r="BB29" s="6">
        <v>9113536</v>
      </c>
      <c r="BC29" s="6">
        <v>9119430</v>
      </c>
      <c r="BD29" s="6">
        <v>9539276</v>
      </c>
      <c r="BE29" s="6">
        <v>9480052</v>
      </c>
      <c r="BF29" s="6">
        <v>9702967</v>
      </c>
    </row>
    <row r="30" spans="1:58" x14ac:dyDescent="0.25">
      <c r="A30" s="16" t="s">
        <v>37</v>
      </c>
      <c r="B30" s="6">
        <v>-210331</v>
      </c>
      <c r="C30" s="6">
        <v>-328997</v>
      </c>
      <c r="D30" s="6">
        <v>-451881</v>
      </c>
      <c r="E30" s="6">
        <v>-493233</v>
      </c>
      <c r="F30" s="6">
        <v>-471420</v>
      </c>
      <c r="G30" s="6">
        <v>-509015</v>
      </c>
      <c r="H30" s="6">
        <v>-577781</v>
      </c>
      <c r="I30" s="6">
        <v>-606665</v>
      </c>
      <c r="J30" s="6">
        <v>-642566</v>
      </c>
      <c r="K30" s="6">
        <v>-673590</v>
      </c>
      <c r="L30" s="6">
        <v>-704367</v>
      </c>
      <c r="M30" s="6">
        <v>-746813</v>
      </c>
      <c r="N30" s="6">
        <v>-785411</v>
      </c>
      <c r="O30" s="6">
        <v>-797688</v>
      </c>
      <c r="P30" s="6">
        <v>-803851</v>
      </c>
      <c r="Q30" s="6">
        <v>-840193</v>
      </c>
      <c r="R30" s="6">
        <v>-874713</v>
      </c>
      <c r="S30" s="6">
        <v>-910703</v>
      </c>
      <c r="T30" s="6">
        <v>-941451</v>
      </c>
      <c r="U30" s="6">
        <v>-975457</v>
      </c>
      <c r="V30" s="6">
        <v>-1007350</v>
      </c>
      <c r="W30" s="6">
        <v>-1028941</v>
      </c>
      <c r="X30" s="6">
        <v>-1033167</v>
      </c>
      <c r="Y30" s="6">
        <v>-1061397</v>
      </c>
      <c r="Z30" s="6">
        <v>-1061528</v>
      </c>
      <c r="AA30" s="6">
        <v>-1077093</v>
      </c>
      <c r="AB30" s="6">
        <v>-1047256</v>
      </c>
      <c r="AC30" s="6">
        <v>-977712</v>
      </c>
      <c r="AD30" s="6">
        <v>-943139</v>
      </c>
      <c r="AE30" s="6">
        <v>-956463</v>
      </c>
      <c r="AF30" s="6">
        <v>-967984</v>
      </c>
      <c r="AG30" s="6">
        <v>-1003153</v>
      </c>
      <c r="AH30" s="6">
        <v>-840906</v>
      </c>
      <c r="AI30" s="6">
        <v>-880685</v>
      </c>
      <c r="AJ30" s="6">
        <v>-945407</v>
      </c>
      <c r="AK30" s="6">
        <v>-1003515</v>
      </c>
      <c r="AL30" s="6">
        <v>-1021070</v>
      </c>
      <c r="AM30" s="6">
        <v>-1058243</v>
      </c>
      <c r="AN30" s="6">
        <v>-1195363</v>
      </c>
      <c r="AO30" s="6">
        <v>-1205742</v>
      </c>
      <c r="AP30" s="6">
        <v>-1307622</v>
      </c>
      <c r="AQ30" s="6">
        <v>-1414620</v>
      </c>
      <c r="AR30" s="6">
        <v>-1459534</v>
      </c>
      <c r="AS30" s="6">
        <v>-1564485</v>
      </c>
      <c r="AT30" s="6">
        <v>-1710271</v>
      </c>
      <c r="AU30" s="6">
        <v>-1844834</v>
      </c>
      <c r="AV30" s="6">
        <v>-1964980</v>
      </c>
      <c r="AW30" s="6">
        <v>-2110010</v>
      </c>
      <c r="AX30" s="6">
        <v>-2254336</v>
      </c>
      <c r="AY30" s="6">
        <v>-2373835</v>
      </c>
      <c r="AZ30" s="6">
        <v>-2503916</v>
      </c>
      <c r="BA30" s="6">
        <v>-2681730</v>
      </c>
      <c r="BB30" s="6">
        <v>-2839439</v>
      </c>
      <c r="BC30" s="6">
        <v>-3019569</v>
      </c>
      <c r="BD30" s="6">
        <v>-3195544</v>
      </c>
      <c r="BE30" s="6">
        <v>-3361460</v>
      </c>
      <c r="BF30" s="6">
        <v>-3517224</v>
      </c>
    </row>
    <row r="31" spans="1:58" x14ac:dyDescent="0.25">
      <c r="A31" s="15" t="s">
        <v>32</v>
      </c>
      <c r="B31" s="4"/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/>
      <c r="AM31" s="4">
        <v>0</v>
      </c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</row>
    <row r="32" spans="1:58" x14ac:dyDescent="0.25">
      <c r="A32" s="16" t="s">
        <v>36</v>
      </c>
      <c r="B32" s="4"/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/>
      <c r="AM32" s="4">
        <v>0</v>
      </c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</row>
    <row r="33" spans="1:58" x14ac:dyDescent="0.25">
      <c r="A33" s="16" t="s">
        <v>37</v>
      </c>
      <c r="B33" s="4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/>
      <c r="AM33" s="4">
        <v>0</v>
      </c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</row>
    <row r="34" spans="1:58" x14ac:dyDescent="0.25">
      <c r="A34" s="15" t="s">
        <v>33</v>
      </c>
      <c r="B34" s="6">
        <v>172648</v>
      </c>
      <c r="C34" s="6">
        <v>226301</v>
      </c>
      <c r="D34" s="6">
        <v>326658</v>
      </c>
      <c r="E34" s="6">
        <v>332678</v>
      </c>
      <c r="F34" s="6">
        <v>327417</v>
      </c>
      <c r="G34" s="6">
        <v>341190</v>
      </c>
      <c r="H34" s="6">
        <v>376081</v>
      </c>
      <c r="I34" s="6">
        <v>360995</v>
      </c>
      <c r="J34" s="6">
        <v>352501</v>
      </c>
      <c r="K34" s="6">
        <v>352568</v>
      </c>
      <c r="L34" s="6">
        <v>379473</v>
      </c>
      <c r="M34" s="6">
        <v>365895</v>
      </c>
      <c r="N34" s="6">
        <v>363165</v>
      </c>
      <c r="O34" s="6">
        <v>361808</v>
      </c>
      <c r="P34" s="6">
        <v>343934</v>
      </c>
      <c r="Q34" s="6">
        <v>378717</v>
      </c>
      <c r="R34" s="6">
        <v>954721</v>
      </c>
      <c r="S34" s="6">
        <v>941554</v>
      </c>
      <c r="T34" s="6">
        <v>1005886</v>
      </c>
      <c r="U34" s="6">
        <v>985144</v>
      </c>
      <c r="V34" s="6">
        <v>962624</v>
      </c>
      <c r="W34" s="6">
        <v>960253</v>
      </c>
      <c r="X34" s="6">
        <v>941657</v>
      </c>
      <c r="Y34" s="6">
        <v>920700</v>
      </c>
      <c r="Z34" s="6">
        <v>898640</v>
      </c>
      <c r="AA34" s="6">
        <v>932730</v>
      </c>
      <c r="AB34" s="6">
        <v>930580</v>
      </c>
      <c r="AC34" s="6">
        <v>2312126</v>
      </c>
      <c r="AD34" s="6">
        <v>2331483</v>
      </c>
      <c r="AE34" s="6">
        <v>2393384</v>
      </c>
      <c r="AF34" s="6">
        <v>2414293</v>
      </c>
      <c r="AG34" s="6">
        <v>2421253</v>
      </c>
      <c r="AH34" s="6">
        <v>2977502</v>
      </c>
      <c r="AI34" s="6">
        <v>3088090</v>
      </c>
      <c r="AJ34" s="6">
        <v>3142481</v>
      </c>
      <c r="AK34" s="6">
        <v>3134403</v>
      </c>
      <c r="AL34" s="6">
        <v>3460626</v>
      </c>
      <c r="AM34" s="6">
        <v>3565824</v>
      </c>
      <c r="AN34" s="6">
        <v>3595751</v>
      </c>
      <c r="AO34" s="6">
        <v>3650874</v>
      </c>
      <c r="AP34" s="6">
        <v>3614650</v>
      </c>
      <c r="AQ34" s="6">
        <v>3754525</v>
      </c>
      <c r="AR34" s="6">
        <v>4714570</v>
      </c>
      <c r="AS34" s="6">
        <v>4619591</v>
      </c>
      <c r="AT34" s="6">
        <v>5016416</v>
      </c>
      <c r="AU34" s="6">
        <v>4962353</v>
      </c>
      <c r="AV34" s="6">
        <v>5365111</v>
      </c>
      <c r="AW34" s="6">
        <v>5664796</v>
      </c>
      <c r="AX34" s="6">
        <v>5957468</v>
      </c>
      <c r="AY34" s="6">
        <v>5777803</v>
      </c>
      <c r="AZ34" s="6">
        <v>5890186</v>
      </c>
      <c r="BA34" s="6">
        <v>5689724</v>
      </c>
      <c r="BB34" s="6">
        <v>5918795</v>
      </c>
      <c r="BC34" s="6">
        <v>5943668</v>
      </c>
      <c r="BD34" s="6">
        <v>5779202</v>
      </c>
      <c r="BE34" s="6">
        <v>5467220</v>
      </c>
      <c r="BF34" s="6">
        <v>6139012</v>
      </c>
    </row>
    <row r="35" spans="1:58" x14ac:dyDescent="0.25">
      <c r="A35" s="16" t="s">
        <v>36</v>
      </c>
      <c r="B35" s="6">
        <v>221176</v>
      </c>
      <c r="C35" s="6">
        <v>299358</v>
      </c>
      <c r="D35" s="6">
        <v>444629</v>
      </c>
      <c r="E35" s="6">
        <v>464822</v>
      </c>
      <c r="F35" s="6">
        <v>473041</v>
      </c>
      <c r="G35" s="6">
        <v>502320</v>
      </c>
      <c r="H35" s="6">
        <v>552644</v>
      </c>
      <c r="I35" s="6">
        <v>554759</v>
      </c>
      <c r="J35" s="6">
        <v>563255</v>
      </c>
      <c r="K35" s="6">
        <v>579985</v>
      </c>
      <c r="L35" s="6">
        <v>624331</v>
      </c>
      <c r="M35" s="6">
        <v>630606</v>
      </c>
      <c r="N35" s="6">
        <v>647640</v>
      </c>
      <c r="O35" s="6">
        <v>666293</v>
      </c>
      <c r="P35" s="6">
        <v>668490</v>
      </c>
      <c r="Q35" s="6">
        <v>723719</v>
      </c>
      <c r="R35" s="6">
        <v>1320142</v>
      </c>
      <c r="S35" s="6">
        <v>1332794</v>
      </c>
      <c r="T35" s="6">
        <v>1423050</v>
      </c>
      <c r="U35" s="6">
        <v>1430795</v>
      </c>
      <c r="V35" s="6">
        <v>1420893</v>
      </c>
      <c r="W35" s="6">
        <v>1442705</v>
      </c>
      <c r="X35" s="6">
        <v>1449616</v>
      </c>
      <c r="Y35" s="6">
        <v>1452985</v>
      </c>
      <c r="Z35" s="6">
        <v>1456652</v>
      </c>
      <c r="AA35" s="6">
        <v>1516222</v>
      </c>
      <c r="AB35" s="6">
        <v>1540037</v>
      </c>
      <c r="AC35" s="6">
        <v>2953155</v>
      </c>
      <c r="AD35" s="6">
        <v>3005141</v>
      </c>
      <c r="AE35" s="6">
        <v>3040502</v>
      </c>
      <c r="AF35" s="6">
        <v>3086148</v>
      </c>
      <c r="AG35" s="6">
        <v>3118399</v>
      </c>
      <c r="AH35" s="6">
        <v>3699629</v>
      </c>
      <c r="AI35" s="6">
        <v>3837044</v>
      </c>
      <c r="AJ35" s="6">
        <v>3923203</v>
      </c>
      <c r="AK35" s="6">
        <v>3940305</v>
      </c>
      <c r="AL35" s="6">
        <v>4306506</v>
      </c>
      <c r="AM35" s="6">
        <v>4454651</v>
      </c>
      <c r="AN35" s="6">
        <v>4542177</v>
      </c>
      <c r="AO35" s="6">
        <v>4647666</v>
      </c>
      <c r="AP35" s="6">
        <v>4662326</v>
      </c>
      <c r="AQ35" s="6">
        <v>4844711</v>
      </c>
      <c r="AR35" s="6">
        <v>5913538</v>
      </c>
      <c r="AS35" s="6">
        <v>5928078</v>
      </c>
      <c r="AT35" s="6">
        <v>6517015</v>
      </c>
      <c r="AU35" s="6">
        <v>6617058</v>
      </c>
      <c r="AV35" s="6">
        <v>7198784</v>
      </c>
      <c r="AW35" s="6">
        <v>7695815</v>
      </c>
      <c r="AX35" s="6">
        <v>8147969</v>
      </c>
      <c r="AY35" s="6">
        <v>8160074</v>
      </c>
      <c r="AZ35" s="6">
        <v>8485022</v>
      </c>
      <c r="BA35" s="6">
        <v>8523990</v>
      </c>
      <c r="BB35" s="6">
        <v>9038035</v>
      </c>
      <c r="BC35" s="6">
        <v>9378229</v>
      </c>
      <c r="BD35" s="6">
        <v>9535997</v>
      </c>
      <c r="BE35" s="6">
        <v>9535734</v>
      </c>
      <c r="BF35" s="6">
        <v>10546242</v>
      </c>
    </row>
    <row r="36" spans="1:58" x14ac:dyDescent="0.25">
      <c r="A36" s="16" t="s">
        <v>37</v>
      </c>
      <c r="B36" s="6">
        <v>-48528</v>
      </c>
      <c r="C36" s="6">
        <v>-73057</v>
      </c>
      <c r="D36" s="6">
        <v>-117971</v>
      </c>
      <c r="E36" s="6">
        <v>-132144</v>
      </c>
      <c r="F36" s="6">
        <v>-145624</v>
      </c>
      <c r="G36" s="6">
        <v>-161130</v>
      </c>
      <c r="H36" s="6">
        <v>-176563</v>
      </c>
      <c r="I36" s="6">
        <v>-193764</v>
      </c>
      <c r="J36" s="6">
        <v>-210754</v>
      </c>
      <c r="K36" s="6">
        <v>-227417</v>
      </c>
      <c r="L36" s="6">
        <v>-244858</v>
      </c>
      <c r="M36" s="6">
        <v>-264711</v>
      </c>
      <c r="N36" s="6">
        <v>-284475</v>
      </c>
      <c r="O36" s="6">
        <v>-304485</v>
      </c>
      <c r="P36" s="6">
        <v>-324556</v>
      </c>
      <c r="Q36" s="6">
        <v>-345002</v>
      </c>
      <c r="R36" s="6">
        <v>-365421</v>
      </c>
      <c r="S36" s="6">
        <v>-391240</v>
      </c>
      <c r="T36" s="6">
        <v>-417164</v>
      </c>
      <c r="U36" s="6">
        <v>-445651</v>
      </c>
      <c r="V36" s="6">
        <v>-458269</v>
      </c>
      <c r="W36" s="6">
        <v>-482452</v>
      </c>
      <c r="X36" s="6">
        <v>-507959</v>
      </c>
      <c r="Y36" s="6">
        <v>-532285</v>
      </c>
      <c r="Z36" s="6">
        <v>-558012</v>
      </c>
      <c r="AA36" s="6">
        <v>-583492</v>
      </c>
      <c r="AB36" s="6">
        <v>-609457</v>
      </c>
      <c r="AC36" s="6">
        <v>-641029</v>
      </c>
      <c r="AD36" s="6">
        <v>-673658</v>
      </c>
      <c r="AE36" s="6">
        <v>-647118</v>
      </c>
      <c r="AF36" s="6">
        <v>-671855</v>
      </c>
      <c r="AG36" s="6">
        <v>-697146</v>
      </c>
      <c r="AH36" s="6">
        <v>-722127</v>
      </c>
      <c r="AI36" s="6">
        <v>-748954</v>
      </c>
      <c r="AJ36" s="6">
        <v>-780722</v>
      </c>
      <c r="AK36" s="6">
        <v>-805902</v>
      </c>
      <c r="AL36" s="6">
        <v>-845880</v>
      </c>
      <c r="AM36" s="6">
        <v>-888827</v>
      </c>
      <c r="AN36" s="6">
        <v>-946426</v>
      </c>
      <c r="AO36" s="6">
        <v>-996792</v>
      </c>
      <c r="AP36" s="6">
        <v>-1047676</v>
      </c>
      <c r="AQ36" s="6">
        <v>-1090186</v>
      </c>
      <c r="AR36" s="6">
        <v>-1198968</v>
      </c>
      <c r="AS36" s="6">
        <v>-1308487</v>
      </c>
      <c r="AT36" s="6">
        <v>-1500599</v>
      </c>
      <c r="AU36" s="6">
        <v>-1654705</v>
      </c>
      <c r="AV36" s="6">
        <v>-1833673</v>
      </c>
      <c r="AW36" s="6">
        <v>-2031019</v>
      </c>
      <c r="AX36" s="6">
        <v>-2190501</v>
      </c>
      <c r="AY36" s="6">
        <v>-2382271</v>
      </c>
      <c r="AZ36" s="6">
        <v>-2594836</v>
      </c>
      <c r="BA36" s="6">
        <v>-2834266</v>
      </c>
      <c r="BB36" s="6">
        <v>-3119240</v>
      </c>
      <c r="BC36" s="6">
        <v>-3434561</v>
      </c>
      <c r="BD36" s="6">
        <v>-3756795</v>
      </c>
      <c r="BE36" s="6">
        <v>-4068514</v>
      </c>
      <c r="BF36" s="6">
        <v>-4407230</v>
      </c>
    </row>
    <row r="37" spans="1:58" x14ac:dyDescent="0.25">
      <c r="A37" s="14" t="s">
        <v>34</v>
      </c>
      <c r="B37" s="4"/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/>
      <c r="AM37" s="4">
        <v>0</v>
      </c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8" x14ac:dyDescent="0.25">
      <c r="A38" s="7" t="s">
        <v>35</v>
      </c>
      <c r="B38" s="4"/>
      <c r="C38" s="6">
        <v>21121</v>
      </c>
      <c r="D38" s="6">
        <v>1329393</v>
      </c>
      <c r="E38" s="6">
        <v>1321073</v>
      </c>
      <c r="F38" s="6">
        <v>1312754</v>
      </c>
      <c r="G38" s="6">
        <v>1309420</v>
      </c>
      <c r="H38" s="6">
        <v>1421469</v>
      </c>
      <c r="I38" s="6">
        <v>1417782</v>
      </c>
      <c r="J38" s="6">
        <v>1407121</v>
      </c>
      <c r="K38" s="6">
        <v>1397655</v>
      </c>
      <c r="L38" s="6">
        <v>1389389</v>
      </c>
      <c r="M38" s="6">
        <v>1379914</v>
      </c>
      <c r="N38" s="6">
        <v>1370440</v>
      </c>
      <c r="O38" s="6">
        <v>1319203</v>
      </c>
      <c r="P38" s="6">
        <v>1310184</v>
      </c>
      <c r="Q38" s="6">
        <v>1301165</v>
      </c>
      <c r="R38" s="6">
        <v>1292145</v>
      </c>
      <c r="S38" s="6">
        <v>1283126</v>
      </c>
      <c r="T38" s="6">
        <v>1278536</v>
      </c>
      <c r="U38" s="6">
        <v>1269517</v>
      </c>
      <c r="V38" s="6">
        <v>1260497</v>
      </c>
      <c r="W38" s="6">
        <v>1247049</v>
      </c>
      <c r="X38" s="6">
        <v>1238030</v>
      </c>
      <c r="Y38" s="6">
        <v>1228013</v>
      </c>
      <c r="Z38" s="6">
        <v>1214224</v>
      </c>
      <c r="AA38" s="6">
        <v>1205274</v>
      </c>
      <c r="AB38" s="6">
        <v>1196324</v>
      </c>
      <c r="AC38" s="6">
        <v>1187374</v>
      </c>
      <c r="AD38" s="6">
        <v>1178424</v>
      </c>
      <c r="AE38" s="6">
        <v>1169474</v>
      </c>
      <c r="AF38" s="6">
        <v>1160524</v>
      </c>
      <c r="AG38" s="6">
        <v>1151574</v>
      </c>
      <c r="AH38" s="6">
        <v>1142624</v>
      </c>
      <c r="AI38" s="6">
        <v>1133674</v>
      </c>
      <c r="AJ38" s="6">
        <v>1124724</v>
      </c>
      <c r="AK38" s="6">
        <v>1115774</v>
      </c>
      <c r="AL38" s="6">
        <v>1106824</v>
      </c>
      <c r="AM38" s="6">
        <v>1097874</v>
      </c>
      <c r="AN38" s="6">
        <v>1088924</v>
      </c>
      <c r="AO38" s="6">
        <v>1079974</v>
      </c>
      <c r="AP38" s="6">
        <v>1071024</v>
      </c>
      <c r="AQ38" s="6">
        <v>1062074</v>
      </c>
      <c r="AR38" s="6">
        <v>1053124</v>
      </c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</row>
    <row r="39" spans="1:58" x14ac:dyDescent="0.25">
      <c r="A39" s="14" t="s">
        <v>36</v>
      </c>
      <c r="B39" s="4"/>
      <c r="C39" s="6">
        <v>21262</v>
      </c>
      <c r="D39" s="6">
        <v>1354461</v>
      </c>
      <c r="E39" s="6">
        <v>1354461</v>
      </c>
      <c r="F39" s="6">
        <v>1354461</v>
      </c>
      <c r="G39" s="6">
        <v>1359468</v>
      </c>
      <c r="H39" s="6">
        <v>1484363</v>
      </c>
      <c r="I39" s="6">
        <v>1490193</v>
      </c>
      <c r="J39" s="6">
        <v>1488424</v>
      </c>
      <c r="K39" s="6">
        <v>1488424</v>
      </c>
      <c r="L39" s="6">
        <v>1489656</v>
      </c>
      <c r="M39" s="6">
        <v>1489656</v>
      </c>
      <c r="N39" s="6">
        <v>1489656</v>
      </c>
      <c r="O39" s="6">
        <v>1442827</v>
      </c>
      <c r="P39" s="6">
        <v>1442827</v>
      </c>
      <c r="Q39" s="6">
        <v>1442827</v>
      </c>
      <c r="R39" s="6">
        <v>1442827</v>
      </c>
      <c r="S39" s="6">
        <v>1442827</v>
      </c>
      <c r="T39" s="6">
        <v>1447256</v>
      </c>
      <c r="U39" s="6">
        <v>1447256</v>
      </c>
      <c r="V39" s="6">
        <v>1447256</v>
      </c>
      <c r="W39" s="6">
        <v>1442827</v>
      </c>
      <c r="X39" s="6">
        <v>1442827</v>
      </c>
      <c r="Y39" s="6">
        <v>1441529</v>
      </c>
      <c r="Z39" s="6">
        <v>1435699</v>
      </c>
      <c r="AA39" s="6">
        <v>1435699</v>
      </c>
      <c r="AB39" s="6">
        <v>1435699</v>
      </c>
      <c r="AC39" s="6">
        <v>1435699</v>
      </c>
      <c r="AD39" s="6">
        <v>1435699</v>
      </c>
      <c r="AE39" s="6">
        <v>1435699</v>
      </c>
      <c r="AF39" s="6">
        <v>1435699</v>
      </c>
      <c r="AG39" s="6">
        <v>1435699</v>
      </c>
      <c r="AH39" s="6">
        <v>1435699</v>
      </c>
      <c r="AI39" s="6">
        <v>1435699</v>
      </c>
      <c r="AJ39" s="6">
        <v>1435699</v>
      </c>
      <c r="AK39" s="6">
        <v>1435699</v>
      </c>
      <c r="AL39" s="6">
        <v>1435699</v>
      </c>
      <c r="AM39" s="6">
        <v>1435699</v>
      </c>
      <c r="AN39" s="6">
        <v>1435699</v>
      </c>
      <c r="AO39" s="6">
        <v>1435699</v>
      </c>
      <c r="AP39" s="6">
        <v>1435699</v>
      </c>
      <c r="AQ39" s="6">
        <v>1435699</v>
      </c>
      <c r="AR39" s="6">
        <v>1435699</v>
      </c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</row>
    <row r="40" spans="1:58" x14ac:dyDescent="0.25">
      <c r="A40" s="14" t="s">
        <v>37</v>
      </c>
      <c r="B40" s="4"/>
      <c r="C40" s="4">
        <v>-141</v>
      </c>
      <c r="D40" s="6">
        <v>-25068</v>
      </c>
      <c r="E40" s="6">
        <v>-33388</v>
      </c>
      <c r="F40" s="6">
        <v>-41707</v>
      </c>
      <c r="G40" s="6">
        <v>-50048</v>
      </c>
      <c r="H40" s="6">
        <v>-62894</v>
      </c>
      <c r="I40" s="6">
        <v>-72411</v>
      </c>
      <c r="J40" s="6">
        <v>-81303</v>
      </c>
      <c r="K40" s="6">
        <v>-90769</v>
      </c>
      <c r="L40" s="6">
        <v>-100267</v>
      </c>
      <c r="M40" s="6">
        <v>-109742</v>
      </c>
      <c r="N40" s="6">
        <v>-119216</v>
      </c>
      <c r="O40" s="6">
        <v>-123624</v>
      </c>
      <c r="P40" s="6">
        <v>-132643</v>
      </c>
      <c r="Q40" s="6">
        <v>-141662</v>
      </c>
      <c r="R40" s="6">
        <v>-150682</v>
      </c>
      <c r="S40" s="6">
        <v>-159701</v>
      </c>
      <c r="T40" s="6">
        <v>-168720</v>
      </c>
      <c r="U40" s="6">
        <v>-177739</v>
      </c>
      <c r="V40" s="6">
        <v>-186759</v>
      </c>
      <c r="W40" s="6">
        <v>-195778</v>
      </c>
      <c r="X40" s="6">
        <v>-204797</v>
      </c>
      <c r="Y40" s="6">
        <v>-213516</v>
      </c>
      <c r="Z40" s="6">
        <v>-221475</v>
      </c>
      <c r="AA40" s="6">
        <v>-230425</v>
      </c>
      <c r="AB40" s="6">
        <v>-239375</v>
      </c>
      <c r="AC40" s="6">
        <v>-248325</v>
      </c>
      <c r="AD40" s="6">
        <v>-257275</v>
      </c>
      <c r="AE40" s="6">
        <v>-266225</v>
      </c>
      <c r="AF40" s="6">
        <v>-275175</v>
      </c>
      <c r="AG40" s="6">
        <v>-284125</v>
      </c>
      <c r="AH40" s="6">
        <v>-293075</v>
      </c>
      <c r="AI40" s="6">
        <v>-302025</v>
      </c>
      <c r="AJ40" s="6">
        <v>-310975</v>
      </c>
      <c r="AK40" s="6">
        <v>-319925</v>
      </c>
      <c r="AL40" s="6">
        <v>-328875</v>
      </c>
      <c r="AM40" s="6">
        <v>-337825</v>
      </c>
      <c r="AN40" s="6">
        <v>-346775</v>
      </c>
      <c r="AO40" s="6">
        <v>-355725</v>
      </c>
      <c r="AP40" s="6">
        <v>-364675</v>
      </c>
      <c r="AQ40" s="6">
        <v>-373625</v>
      </c>
      <c r="AR40" s="6">
        <v>-382575</v>
      </c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</row>
    <row r="41" spans="1:58" x14ac:dyDescent="0.25">
      <c r="A41" s="7" t="s">
        <v>38</v>
      </c>
      <c r="B41" s="6">
        <v>11467495</v>
      </c>
      <c r="C41" s="6">
        <v>15228196</v>
      </c>
      <c r="D41" s="6">
        <v>21203861</v>
      </c>
      <c r="E41" s="6">
        <v>24775835</v>
      </c>
      <c r="F41" s="6">
        <v>20763995</v>
      </c>
      <c r="G41" s="6">
        <v>17718820</v>
      </c>
      <c r="H41" s="6">
        <v>15916918</v>
      </c>
      <c r="I41" s="6">
        <v>16485763</v>
      </c>
      <c r="J41" s="6">
        <v>15509052</v>
      </c>
      <c r="K41" s="6">
        <v>15029751</v>
      </c>
      <c r="L41" s="6">
        <v>13568640</v>
      </c>
      <c r="M41" s="6">
        <v>13196828</v>
      </c>
      <c r="N41" s="6">
        <v>11646668</v>
      </c>
      <c r="O41" s="6">
        <v>11988318</v>
      </c>
      <c r="P41" s="6">
        <v>12355256</v>
      </c>
      <c r="Q41" s="6">
        <v>10436323</v>
      </c>
      <c r="R41" s="6">
        <v>9949481</v>
      </c>
      <c r="S41" s="6">
        <v>10954571</v>
      </c>
      <c r="T41" s="6">
        <v>9995999</v>
      </c>
      <c r="U41" s="6">
        <v>9837305</v>
      </c>
      <c r="V41" s="6">
        <v>11834846</v>
      </c>
      <c r="W41" s="6">
        <v>13150524</v>
      </c>
      <c r="X41" s="6">
        <v>12541963</v>
      </c>
      <c r="Y41" s="6">
        <v>12447671</v>
      </c>
      <c r="Z41" s="6">
        <v>13409769</v>
      </c>
      <c r="AA41" s="6">
        <v>16771539</v>
      </c>
      <c r="AB41" s="6">
        <v>17702680</v>
      </c>
      <c r="AC41" s="6">
        <v>11542223</v>
      </c>
      <c r="AD41" s="6">
        <v>12619778</v>
      </c>
      <c r="AE41" s="6">
        <v>15566906</v>
      </c>
      <c r="AF41" s="6">
        <v>19334394</v>
      </c>
      <c r="AG41" s="6">
        <v>21861613</v>
      </c>
      <c r="AH41" s="6">
        <v>24062647</v>
      </c>
      <c r="AI41" s="6">
        <v>21878051</v>
      </c>
      <c r="AJ41" s="6">
        <v>22835903</v>
      </c>
      <c r="AK41" s="6">
        <v>27336325</v>
      </c>
      <c r="AL41" s="6">
        <v>30185113</v>
      </c>
      <c r="AM41" s="6">
        <v>32063824</v>
      </c>
      <c r="AN41" s="6">
        <v>34857643</v>
      </c>
      <c r="AO41" s="6">
        <v>35951348</v>
      </c>
      <c r="AP41" s="6">
        <v>49268818</v>
      </c>
      <c r="AQ41" s="6">
        <v>71795190</v>
      </c>
      <c r="AR41" s="6">
        <v>70517225</v>
      </c>
      <c r="AS41" s="6">
        <v>70304177</v>
      </c>
      <c r="AT41" s="6">
        <v>67878596</v>
      </c>
      <c r="AU41" s="6">
        <v>71981345</v>
      </c>
      <c r="AV41" s="6">
        <v>80543424</v>
      </c>
      <c r="AW41" s="6">
        <v>73476386</v>
      </c>
      <c r="AX41" s="6">
        <v>72011233</v>
      </c>
      <c r="AY41" s="6">
        <v>51847838</v>
      </c>
      <c r="AZ41" s="6">
        <v>39642193</v>
      </c>
      <c r="BA41" s="6">
        <v>43901320</v>
      </c>
      <c r="BB41" s="6">
        <v>37470995</v>
      </c>
      <c r="BC41" s="6">
        <v>41323432</v>
      </c>
      <c r="BD41" s="6">
        <v>68031744</v>
      </c>
      <c r="BE41" s="6">
        <v>62232484</v>
      </c>
      <c r="BF41" s="6">
        <v>57121275</v>
      </c>
    </row>
    <row r="42" spans="1:58" x14ac:dyDescent="0.25">
      <c r="A42" s="14" t="s">
        <v>39</v>
      </c>
      <c r="B42" s="6">
        <v>8747242</v>
      </c>
      <c r="C42" s="6">
        <v>10340702</v>
      </c>
      <c r="D42" s="6">
        <v>15868836</v>
      </c>
      <c r="E42" s="6">
        <v>17084380</v>
      </c>
      <c r="F42" s="6">
        <v>13413940</v>
      </c>
      <c r="G42" s="6">
        <v>11862197</v>
      </c>
      <c r="H42" s="6">
        <v>10345060</v>
      </c>
      <c r="I42" s="6">
        <v>10663423</v>
      </c>
      <c r="J42" s="6">
        <v>9762855</v>
      </c>
      <c r="K42" s="6">
        <v>10194068</v>
      </c>
      <c r="L42" s="6">
        <v>10390078</v>
      </c>
      <c r="M42" s="6">
        <v>10481035</v>
      </c>
      <c r="N42" s="6">
        <v>9244142</v>
      </c>
      <c r="O42" s="6">
        <v>9659922</v>
      </c>
      <c r="P42" s="6">
        <v>11325061</v>
      </c>
      <c r="Q42" s="6">
        <v>9190824</v>
      </c>
      <c r="R42" s="6">
        <v>6724463</v>
      </c>
      <c r="S42" s="6">
        <v>7214011</v>
      </c>
      <c r="T42" s="6">
        <v>6857695</v>
      </c>
      <c r="U42" s="6">
        <v>6270715</v>
      </c>
      <c r="V42" s="6">
        <v>7450381</v>
      </c>
      <c r="W42" s="6">
        <v>8359112</v>
      </c>
      <c r="X42" s="6">
        <v>9417589</v>
      </c>
      <c r="Y42" s="6">
        <v>7917124</v>
      </c>
      <c r="Z42" s="6">
        <v>8657532</v>
      </c>
      <c r="AA42" s="6">
        <v>10141222</v>
      </c>
      <c r="AB42" s="6">
        <v>11323131</v>
      </c>
      <c r="AC42" s="6">
        <v>6049154</v>
      </c>
      <c r="AD42" s="6">
        <v>7197735</v>
      </c>
      <c r="AE42" s="6">
        <v>9814821</v>
      </c>
      <c r="AF42" s="6">
        <v>12954103</v>
      </c>
      <c r="AG42" s="6">
        <v>14243518</v>
      </c>
      <c r="AH42" s="6">
        <v>17450115</v>
      </c>
      <c r="AI42" s="6">
        <v>14800995</v>
      </c>
      <c r="AJ42" s="6">
        <v>16572411</v>
      </c>
      <c r="AK42" s="6">
        <v>20888411</v>
      </c>
      <c r="AL42" s="6">
        <v>23489545</v>
      </c>
      <c r="AM42" s="6">
        <v>24883360</v>
      </c>
      <c r="AN42" s="6">
        <v>28148180</v>
      </c>
      <c r="AO42" s="6">
        <v>26069013</v>
      </c>
      <c r="AP42" s="6">
        <v>40330561</v>
      </c>
      <c r="AQ42" s="6">
        <v>62295994</v>
      </c>
      <c r="AR42" s="6">
        <v>61609133</v>
      </c>
      <c r="AS42" s="6">
        <v>60672102</v>
      </c>
      <c r="AT42" s="6">
        <v>57751403</v>
      </c>
      <c r="AU42" s="6">
        <v>60919661</v>
      </c>
      <c r="AV42" s="6">
        <v>69834157</v>
      </c>
      <c r="AW42" s="6">
        <v>60267488</v>
      </c>
      <c r="AX42" s="6">
        <v>57105306</v>
      </c>
      <c r="AY42" s="6">
        <v>36294684</v>
      </c>
      <c r="AZ42" s="6">
        <v>29540943</v>
      </c>
      <c r="BA42" s="6">
        <v>32615594</v>
      </c>
      <c r="BB42" s="6">
        <v>26160199</v>
      </c>
      <c r="BC42" s="6">
        <v>28788017</v>
      </c>
      <c r="BD42" s="6">
        <v>56111402</v>
      </c>
      <c r="BE42" s="6">
        <v>49705962</v>
      </c>
      <c r="BF42" s="6">
        <v>43068933</v>
      </c>
    </row>
    <row r="43" spans="1:58" x14ac:dyDescent="0.25">
      <c r="A43" s="14" t="s">
        <v>40</v>
      </c>
      <c r="B43" s="6">
        <v>2219043</v>
      </c>
      <c r="C43" s="6">
        <v>4471852</v>
      </c>
      <c r="D43" s="6">
        <v>5073531</v>
      </c>
      <c r="E43" s="6">
        <v>5874481</v>
      </c>
      <c r="F43" s="6">
        <v>6985828</v>
      </c>
      <c r="G43" s="6">
        <v>5637232</v>
      </c>
      <c r="H43" s="6">
        <v>5256518</v>
      </c>
      <c r="I43" s="6">
        <v>5508129</v>
      </c>
      <c r="J43" s="6">
        <v>5430161</v>
      </c>
      <c r="K43" s="6">
        <v>4692359</v>
      </c>
      <c r="L43" s="6">
        <v>3341124</v>
      </c>
      <c r="M43" s="6">
        <v>3278103</v>
      </c>
      <c r="N43" s="6">
        <v>3590135</v>
      </c>
      <c r="O43" s="6">
        <v>3873634</v>
      </c>
      <c r="P43" s="6">
        <v>3046539</v>
      </c>
      <c r="Q43" s="6">
        <v>3362420</v>
      </c>
      <c r="R43" s="6">
        <v>4364864</v>
      </c>
      <c r="S43" s="6">
        <v>4758171</v>
      </c>
      <c r="T43" s="6">
        <v>3989106</v>
      </c>
      <c r="U43" s="6">
        <v>4439689</v>
      </c>
      <c r="V43" s="6">
        <v>5231450</v>
      </c>
      <c r="W43" s="6">
        <v>5727923</v>
      </c>
      <c r="X43" s="6">
        <v>3876528</v>
      </c>
      <c r="Y43" s="6">
        <v>4399966</v>
      </c>
      <c r="Z43" s="6">
        <v>4671813</v>
      </c>
      <c r="AA43" s="6">
        <v>6035558</v>
      </c>
      <c r="AB43" s="6">
        <v>5737907</v>
      </c>
      <c r="AC43" s="6">
        <v>4739491</v>
      </c>
      <c r="AD43" s="6">
        <v>4648776</v>
      </c>
      <c r="AE43" s="6">
        <v>5112440</v>
      </c>
      <c r="AF43" s="6">
        <v>5553724</v>
      </c>
      <c r="AG43" s="6">
        <v>6614041</v>
      </c>
      <c r="AH43" s="6">
        <v>5597591</v>
      </c>
      <c r="AI43" s="6">
        <v>5988496</v>
      </c>
      <c r="AJ43" s="6">
        <v>5184822</v>
      </c>
      <c r="AK43" s="6">
        <v>5664148</v>
      </c>
      <c r="AL43" s="6">
        <v>5736051</v>
      </c>
      <c r="AM43" s="6">
        <v>6223821</v>
      </c>
      <c r="AN43" s="6">
        <v>5807801</v>
      </c>
      <c r="AO43" s="6">
        <v>7252645</v>
      </c>
      <c r="AP43" s="6">
        <v>8071853</v>
      </c>
      <c r="AQ43" s="6">
        <v>8680552</v>
      </c>
      <c r="AR43" s="6">
        <v>8028730</v>
      </c>
      <c r="AS43" s="6">
        <v>8364909</v>
      </c>
      <c r="AT43" s="6">
        <v>8874540</v>
      </c>
      <c r="AU43" s="6">
        <v>9402196</v>
      </c>
      <c r="AV43" s="6">
        <v>9681140</v>
      </c>
      <c r="AW43" s="6">
        <v>11654956</v>
      </c>
      <c r="AX43" s="6">
        <v>13395035</v>
      </c>
      <c r="AY43" s="6">
        <v>13921648</v>
      </c>
      <c r="AZ43" s="6">
        <v>8125964</v>
      </c>
      <c r="BA43" s="6">
        <v>9250483</v>
      </c>
      <c r="BB43" s="6">
        <v>9361828</v>
      </c>
      <c r="BC43" s="6">
        <v>10532599</v>
      </c>
      <c r="BD43" s="6">
        <v>9787070</v>
      </c>
      <c r="BE43" s="6">
        <v>10338272</v>
      </c>
      <c r="BF43" s="6">
        <v>11375555</v>
      </c>
    </row>
    <row r="44" spans="1:58" x14ac:dyDescent="0.25">
      <c r="A44" s="14" t="s">
        <v>41</v>
      </c>
      <c r="B44" s="6">
        <v>23922</v>
      </c>
      <c r="C44" s="6">
        <v>35203</v>
      </c>
      <c r="D44" s="6">
        <v>6463</v>
      </c>
      <c r="E44" s="6">
        <v>33643</v>
      </c>
      <c r="F44" s="6">
        <v>31197</v>
      </c>
      <c r="G44" s="6">
        <v>30326</v>
      </c>
      <c r="H44" s="6">
        <v>28578</v>
      </c>
      <c r="I44" s="6">
        <v>27828</v>
      </c>
      <c r="J44" s="6">
        <v>20984</v>
      </c>
      <c r="K44" s="6">
        <v>16983</v>
      </c>
      <c r="L44" s="6">
        <v>17497</v>
      </c>
      <c r="M44" s="6">
        <v>26355</v>
      </c>
      <c r="N44" s="6">
        <v>26246</v>
      </c>
      <c r="O44" s="6">
        <v>23065</v>
      </c>
      <c r="P44" s="6">
        <v>2645</v>
      </c>
      <c r="Q44" s="6">
        <v>2633</v>
      </c>
      <c r="R44" s="6">
        <v>2633</v>
      </c>
      <c r="S44" s="6">
        <v>2633</v>
      </c>
      <c r="T44" s="6">
        <v>2633</v>
      </c>
      <c r="U44" s="6">
        <v>27659</v>
      </c>
      <c r="V44" s="6">
        <v>7833</v>
      </c>
      <c r="W44" s="6">
        <v>6973</v>
      </c>
      <c r="X44" s="6">
        <v>1773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/>
      <c r="AM44" s="4">
        <v>0</v>
      </c>
      <c r="AN44" s="4"/>
      <c r="AO44" s="6">
        <v>17460</v>
      </c>
      <c r="AP44" s="6">
        <v>25250</v>
      </c>
      <c r="AQ44" s="6">
        <v>21403</v>
      </c>
      <c r="AR44" s="6">
        <v>61050</v>
      </c>
      <c r="AS44" s="6">
        <v>62368</v>
      </c>
      <c r="AT44" s="6">
        <v>63367</v>
      </c>
      <c r="AU44" s="6">
        <v>66481</v>
      </c>
      <c r="AV44" s="6">
        <v>70409</v>
      </c>
      <c r="AW44" s="6">
        <v>69822</v>
      </c>
      <c r="AX44" s="6">
        <v>72118</v>
      </c>
      <c r="AY44" s="6">
        <v>73401</v>
      </c>
      <c r="AZ44" s="6">
        <v>79856</v>
      </c>
      <c r="BA44" s="6">
        <v>78875</v>
      </c>
      <c r="BB44" s="6">
        <v>77679</v>
      </c>
      <c r="BC44" s="6">
        <v>77775</v>
      </c>
      <c r="BD44" s="6">
        <v>40487</v>
      </c>
      <c r="BE44" s="6">
        <v>41184</v>
      </c>
      <c r="BF44" s="6">
        <v>45870</v>
      </c>
    </row>
    <row r="45" spans="1:58" x14ac:dyDescent="0.25">
      <c r="A45" s="15" t="s">
        <v>42</v>
      </c>
      <c r="B45" s="6">
        <v>477472</v>
      </c>
      <c r="C45" s="6">
        <v>380698</v>
      </c>
      <c r="D45" s="6">
        <v>297964</v>
      </c>
      <c r="E45" s="6">
        <v>1826251</v>
      </c>
      <c r="F45" s="6">
        <v>375912</v>
      </c>
      <c r="G45" s="6">
        <v>232222</v>
      </c>
      <c r="H45" s="6">
        <v>337896</v>
      </c>
      <c r="I45" s="6">
        <v>337584</v>
      </c>
      <c r="J45" s="6">
        <v>355725</v>
      </c>
      <c r="K45" s="6">
        <v>627942</v>
      </c>
      <c r="L45" s="6">
        <v>606414</v>
      </c>
      <c r="M45" s="6">
        <v>688017</v>
      </c>
      <c r="N45" s="6">
        <v>606528</v>
      </c>
      <c r="O45" s="6">
        <v>589945</v>
      </c>
      <c r="P45" s="6">
        <v>595487</v>
      </c>
      <c r="Q45" s="6">
        <v>612627</v>
      </c>
      <c r="R45" s="6">
        <v>558435</v>
      </c>
      <c r="S45" s="6">
        <v>580265</v>
      </c>
      <c r="T45" s="6">
        <v>650888</v>
      </c>
      <c r="U45" s="6">
        <v>656524</v>
      </c>
      <c r="V45" s="6">
        <v>553836</v>
      </c>
      <c r="W45" s="6">
        <v>470001</v>
      </c>
      <c r="X45" s="6">
        <v>557642</v>
      </c>
      <c r="Y45" s="6">
        <v>653073</v>
      </c>
      <c r="Z45" s="6">
        <v>641168</v>
      </c>
      <c r="AA45" s="6">
        <v>665969</v>
      </c>
      <c r="AB45" s="6">
        <v>717481</v>
      </c>
      <c r="AC45" s="6">
        <v>818833</v>
      </c>
      <c r="AD45" s="6">
        <v>837728</v>
      </c>
      <c r="AE45" s="6">
        <v>783970</v>
      </c>
      <c r="AF45" s="6">
        <v>1055475</v>
      </c>
      <c r="AG45" s="6">
        <v>1244949</v>
      </c>
      <c r="AH45" s="6">
        <v>1344710</v>
      </c>
      <c r="AI45" s="6">
        <v>1321618</v>
      </c>
      <c r="AJ45" s="6">
        <v>1268562</v>
      </c>
      <c r="AK45" s="6">
        <v>1280326</v>
      </c>
      <c r="AL45" s="6">
        <v>1490636</v>
      </c>
      <c r="AM45" s="6">
        <v>1517122</v>
      </c>
      <c r="AN45" s="6">
        <v>1582085</v>
      </c>
      <c r="AO45" s="6">
        <v>3214870</v>
      </c>
      <c r="AP45" s="6">
        <v>1535642</v>
      </c>
      <c r="AQ45" s="6">
        <v>1600742</v>
      </c>
      <c r="AR45" s="6">
        <v>1616735</v>
      </c>
      <c r="AS45" s="6">
        <v>1878336</v>
      </c>
      <c r="AT45" s="6">
        <v>1873472</v>
      </c>
      <c r="AU45" s="6">
        <v>2298415</v>
      </c>
      <c r="AV45" s="6">
        <v>1650584</v>
      </c>
      <c r="AW45" s="6">
        <v>1852926</v>
      </c>
      <c r="AX45" s="6">
        <v>1763895</v>
      </c>
      <c r="AY45" s="6">
        <v>1715829</v>
      </c>
      <c r="AZ45" s="6">
        <v>1960304</v>
      </c>
      <c r="BA45" s="6">
        <v>1991512</v>
      </c>
      <c r="BB45" s="6">
        <v>1880516</v>
      </c>
      <c r="BC45" s="6">
        <v>1940130</v>
      </c>
      <c r="BD45" s="6">
        <v>2101086</v>
      </c>
      <c r="BE45" s="6">
        <v>2155038</v>
      </c>
      <c r="BF45" s="6">
        <v>2641360</v>
      </c>
    </row>
    <row r="46" spans="1:58" x14ac:dyDescent="0.25">
      <c r="A46" s="16" t="s">
        <v>118</v>
      </c>
      <c r="B46" s="4"/>
      <c r="C46" s="4"/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6">
        <v>98167</v>
      </c>
      <c r="N46" s="6">
        <v>44470</v>
      </c>
      <c r="O46" s="6">
        <v>41999</v>
      </c>
      <c r="P46" s="6">
        <v>39529</v>
      </c>
      <c r="Q46" s="6">
        <v>37058</v>
      </c>
      <c r="R46" s="6">
        <v>34588</v>
      </c>
      <c r="S46" s="6">
        <v>32117</v>
      </c>
      <c r="T46" s="6">
        <v>29647</v>
      </c>
      <c r="U46" s="6">
        <v>27176</v>
      </c>
      <c r="V46" s="6">
        <v>24706</v>
      </c>
      <c r="W46" s="6">
        <v>22235</v>
      </c>
      <c r="X46" s="6">
        <v>19765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/>
      <c r="AM46" s="4">
        <v>0</v>
      </c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6">
        <v>20735</v>
      </c>
      <c r="BC46" s="6">
        <v>20735</v>
      </c>
      <c r="BD46" s="4"/>
      <c r="BE46" s="4"/>
      <c r="BF46" s="4"/>
    </row>
    <row r="47" spans="1:58" x14ac:dyDescent="0.25">
      <c r="A47" s="14" t="s">
        <v>43</v>
      </c>
      <c r="B47" s="4">
        <v>-184</v>
      </c>
      <c r="C47" s="4">
        <v>-259</v>
      </c>
      <c r="D47" s="6">
        <v>-42933</v>
      </c>
      <c r="E47" s="6">
        <v>-42920</v>
      </c>
      <c r="F47" s="6">
        <v>-42882</v>
      </c>
      <c r="G47" s="6">
        <v>-43157</v>
      </c>
      <c r="H47" s="6">
        <v>-51134</v>
      </c>
      <c r="I47" s="6">
        <v>-51201</v>
      </c>
      <c r="J47" s="6">
        <v>-60673</v>
      </c>
      <c r="K47" s="6">
        <v>-501601</v>
      </c>
      <c r="L47" s="6">
        <v>-786473</v>
      </c>
      <c r="M47" s="6">
        <v>-1276682</v>
      </c>
      <c r="N47" s="6">
        <v>-1820383</v>
      </c>
      <c r="O47" s="6">
        <v>-2158248</v>
      </c>
      <c r="P47" s="6">
        <v>-2614476</v>
      </c>
      <c r="Q47" s="6">
        <v>-2732181</v>
      </c>
      <c r="R47" s="6">
        <v>-1700914</v>
      </c>
      <c r="S47" s="6">
        <v>-1600509</v>
      </c>
      <c r="T47" s="6">
        <v>-1504323</v>
      </c>
      <c r="U47" s="6">
        <v>-1557282</v>
      </c>
      <c r="V47" s="6">
        <v>-1408654</v>
      </c>
      <c r="W47" s="6">
        <v>-1413485</v>
      </c>
      <c r="X47" s="6">
        <v>-1311569</v>
      </c>
      <c r="Y47" s="6">
        <v>-522492</v>
      </c>
      <c r="Z47" s="6">
        <v>-560744</v>
      </c>
      <c r="AA47" s="6">
        <v>-71210</v>
      </c>
      <c r="AB47" s="6">
        <v>-75839</v>
      </c>
      <c r="AC47" s="6">
        <v>-65255</v>
      </c>
      <c r="AD47" s="6">
        <v>-64461</v>
      </c>
      <c r="AE47" s="6">
        <v>-144325</v>
      </c>
      <c r="AF47" s="6">
        <v>-228908</v>
      </c>
      <c r="AG47" s="6">
        <v>-240895</v>
      </c>
      <c r="AH47" s="6">
        <v>-329769</v>
      </c>
      <c r="AI47" s="6">
        <v>-233058</v>
      </c>
      <c r="AJ47" s="6">
        <v>-189892</v>
      </c>
      <c r="AK47" s="6">
        <v>-496560</v>
      </c>
      <c r="AL47" s="6">
        <v>-531119</v>
      </c>
      <c r="AM47" s="6">
        <v>-560479</v>
      </c>
      <c r="AN47" s="6">
        <v>-680423</v>
      </c>
      <c r="AO47" s="6">
        <v>-602640</v>
      </c>
      <c r="AP47" s="6">
        <v>-694488</v>
      </c>
      <c r="AQ47" s="6">
        <v>-803501</v>
      </c>
      <c r="AR47" s="6">
        <v>-798423</v>
      </c>
      <c r="AS47" s="6">
        <v>-673538</v>
      </c>
      <c r="AT47" s="6">
        <v>-684186</v>
      </c>
      <c r="AU47" s="6">
        <v>-705408</v>
      </c>
      <c r="AV47" s="6">
        <v>-692866</v>
      </c>
      <c r="AW47" s="6">
        <v>-368806</v>
      </c>
      <c r="AX47" s="6">
        <v>-325121</v>
      </c>
      <c r="AY47" s="6">
        <v>-157724</v>
      </c>
      <c r="AZ47" s="6">
        <v>-64874</v>
      </c>
      <c r="BA47" s="6">
        <v>-35144</v>
      </c>
      <c r="BB47" s="6">
        <v>-9227</v>
      </c>
      <c r="BC47" s="6">
        <v>-15089</v>
      </c>
      <c r="BD47" s="6">
        <v>-8301</v>
      </c>
      <c r="BE47" s="6">
        <v>-7972</v>
      </c>
      <c r="BF47" s="6">
        <v>-10443</v>
      </c>
    </row>
    <row r="48" spans="1:58" x14ac:dyDescent="0.25">
      <c r="A48" s="11" t="s">
        <v>44</v>
      </c>
      <c r="B48" s="6">
        <v>150291215</v>
      </c>
      <c r="C48" s="6">
        <v>180531163</v>
      </c>
      <c r="D48" s="6">
        <v>179732817</v>
      </c>
      <c r="E48" s="6">
        <v>175862903</v>
      </c>
      <c r="F48" s="6">
        <v>171394441</v>
      </c>
      <c r="G48" s="6">
        <v>165878786</v>
      </c>
      <c r="H48" s="6">
        <v>158896663</v>
      </c>
      <c r="I48" s="6">
        <v>164134583</v>
      </c>
      <c r="J48" s="6">
        <v>171081078</v>
      </c>
      <c r="K48" s="6">
        <v>170768267</v>
      </c>
      <c r="L48" s="6">
        <v>175915454</v>
      </c>
      <c r="M48" s="6">
        <v>179100004</v>
      </c>
      <c r="N48" s="6">
        <v>172744073</v>
      </c>
      <c r="O48" s="6">
        <v>175216913</v>
      </c>
      <c r="P48" s="6">
        <v>192009075</v>
      </c>
      <c r="Q48" s="6">
        <v>199003292</v>
      </c>
      <c r="R48" s="6">
        <v>212676296</v>
      </c>
      <c r="S48" s="6">
        <v>222769955</v>
      </c>
      <c r="T48" s="6">
        <v>235363026</v>
      </c>
      <c r="U48" s="6">
        <v>232522122</v>
      </c>
      <c r="V48" s="6">
        <v>232342274</v>
      </c>
      <c r="W48" s="6">
        <v>233501777</v>
      </c>
      <c r="X48" s="6">
        <v>269392380</v>
      </c>
      <c r="Y48" s="6">
        <v>273152696</v>
      </c>
      <c r="Z48" s="6">
        <v>300404808</v>
      </c>
      <c r="AA48" s="6">
        <v>311795636</v>
      </c>
      <c r="AB48" s="6">
        <v>321049453</v>
      </c>
      <c r="AC48" s="6">
        <v>326111765</v>
      </c>
      <c r="AD48" s="6">
        <v>360661683</v>
      </c>
      <c r="AE48" s="6">
        <v>367538462</v>
      </c>
      <c r="AF48" s="6">
        <v>383699461</v>
      </c>
      <c r="AG48" s="6">
        <v>391807859</v>
      </c>
      <c r="AH48" s="6">
        <v>395861051</v>
      </c>
      <c r="AI48" s="6">
        <v>401461729</v>
      </c>
      <c r="AJ48" s="6">
        <v>439602933</v>
      </c>
      <c r="AK48" s="6">
        <v>462822690</v>
      </c>
      <c r="AL48" s="6">
        <v>504303766</v>
      </c>
      <c r="AM48" s="6">
        <v>541635295</v>
      </c>
      <c r="AN48" s="6">
        <v>568811435</v>
      </c>
      <c r="AO48" s="6">
        <v>615270328</v>
      </c>
      <c r="AP48" s="6">
        <v>623738504</v>
      </c>
      <c r="AQ48" s="6">
        <v>671353524</v>
      </c>
      <c r="AR48" s="6">
        <v>699032544</v>
      </c>
      <c r="AS48" s="6">
        <v>723517800</v>
      </c>
      <c r="AT48" s="6">
        <v>732470169</v>
      </c>
      <c r="AU48" s="6">
        <v>781278666</v>
      </c>
      <c r="AV48" s="6">
        <v>849482012</v>
      </c>
      <c r="AW48" s="6">
        <v>885653461</v>
      </c>
      <c r="AX48" s="6">
        <v>908306700</v>
      </c>
      <c r="AY48" s="6">
        <v>927053345</v>
      </c>
      <c r="AZ48" s="6">
        <v>978798549</v>
      </c>
      <c r="BA48" s="6">
        <v>989215993</v>
      </c>
      <c r="BB48" s="6">
        <v>1037645395</v>
      </c>
      <c r="BC48" s="6">
        <v>1129570458</v>
      </c>
      <c r="BD48" s="6">
        <v>1192344137</v>
      </c>
      <c r="BE48" s="6">
        <v>1190453754</v>
      </c>
      <c r="BF48" s="6">
        <v>1273076923</v>
      </c>
    </row>
    <row r="49" spans="1:58" x14ac:dyDescent="0.25">
      <c r="A49" s="3" t="s">
        <v>45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</row>
    <row r="50" spans="1:58" x14ac:dyDescent="0.25">
      <c r="A50" s="5" t="s">
        <v>46</v>
      </c>
      <c r="B50" s="6">
        <v>8091316</v>
      </c>
      <c r="C50" s="6">
        <v>3317602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6">
        <v>202648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6">
        <v>1447970</v>
      </c>
      <c r="U50" s="6">
        <v>431773</v>
      </c>
      <c r="V50" s="6">
        <v>1000000</v>
      </c>
      <c r="W50" s="6">
        <v>2000000</v>
      </c>
      <c r="X50" s="6">
        <v>1000000</v>
      </c>
      <c r="Y50" s="6">
        <v>2000000</v>
      </c>
      <c r="Z50" s="6">
        <v>2000000</v>
      </c>
      <c r="AA50" s="6">
        <v>2000000</v>
      </c>
      <c r="AB50" s="6">
        <v>6025027</v>
      </c>
      <c r="AC50" s="6">
        <v>2698912</v>
      </c>
      <c r="AD50" s="6">
        <v>3062737</v>
      </c>
      <c r="AE50" s="6">
        <v>2000000</v>
      </c>
      <c r="AF50" s="4">
        <v>0</v>
      </c>
      <c r="AG50" s="6">
        <v>1003839</v>
      </c>
      <c r="AH50" s="4">
        <v>0</v>
      </c>
      <c r="AI50" s="4">
        <v>0</v>
      </c>
      <c r="AJ50" s="4">
        <v>0</v>
      </c>
      <c r="AK50" s="6">
        <v>1689</v>
      </c>
      <c r="AL50" s="4">
        <v>319</v>
      </c>
      <c r="AM50" s="6">
        <v>15482</v>
      </c>
      <c r="AN50" s="4">
        <v>842</v>
      </c>
      <c r="AO50" s="6">
        <v>223178</v>
      </c>
      <c r="AP50" s="6">
        <v>2311</v>
      </c>
      <c r="AQ50" s="6">
        <v>5801</v>
      </c>
      <c r="AR50" s="6">
        <v>7826</v>
      </c>
      <c r="AS50" s="6">
        <v>121611</v>
      </c>
      <c r="AT50" s="6">
        <v>136300</v>
      </c>
      <c r="AU50" s="6">
        <v>49571</v>
      </c>
      <c r="AV50" s="4">
        <v>131</v>
      </c>
      <c r="AW50" s="6">
        <v>938925</v>
      </c>
      <c r="AX50" s="6">
        <v>410381</v>
      </c>
      <c r="AY50" s="6">
        <v>20542</v>
      </c>
      <c r="AZ50" s="6">
        <v>11531</v>
      </c>
      <c r="BA50" s="6">
        <v>118379</v>
      </c>
      <c r="BB50" s="6">
        <v>46920</v>
      </c>
      <c r="BC50" s="6">
        <v>41254</v>
      </c>
      <c r="BD50" s="6">
        <v>4323867</v>
      </c>
      <c r="BE50" s="6">
        <v>4673129</v>
      </c>
      <c r="BF50" s="6">
        <v>8245783</v>
      </c>
    </row>
    <row r="51" spans="1:58" x14ac:dyDescent="0.25">
      <c r="A51" s="7" t="s">
        <v>47</v>
      </c>
      <c r="B51" s="6">
        <v>27783114</v>
      </c>
      <c r="C51" s="6">
        <v>48132743</v>
      </c>
      <c r="D51" s="6">
        <v>39170405</v>
      </c>
      <c r="E51" s="6">
        <v>34203437</v>
      </c>
      <c r="F51" s="6">
        <v>33990447</v>
      </c>
      <c r="G51" s="6">
        <v>24686177</v>
      </c>
      <c r="H51" s="6">
        <v>15224974</v>
      </c>
      <c r="I51" s="6">
        <v>16197678</v>
      </c>
      <c r="J51" s="6">
        <v>21506875</v>
      </c>
      <c r="K51" s="6">
        <v>24864221</v>
      </c>
      <c r="L51" s="6">
        <v>19471408</v>
      </c>
      <c r="M51" s="6">
        <v>26811716</v>
      </c>
      <c r="N51" s="6">
        <v>17916097</v>
      </c>
      <c r="O51" s="6">
        <v>12064769</v>
      </c>
      <c r="P51" s="6">
        <v>20745990</v>
      </c>
      <c r="Q51" s="6">
        <v>20534007</v>
      </c>
      <c r="R51" s="6">
        <v>31098536</v>
      </c>
      <c r="S51" s="6">
        <v>25599184</v>
      </c>
      <c r="T51" s="6">
        <v>24886126</v>
      </c>
      <c r="U51" s="6">
        <v>16917138</v>
      </c>
      <c r="V51" s="6">
        <v>20881956</v>
      </c>
      <c r="W51" s="6">
        <v>28055215</v>
      </c>
      <c r="X51" s="6">
        <v>46323825</v>
      </c>
      <c r="Y51" s="6">
        <v>25400971</v>
      </c>
      <c r="Z51" s="6">
        <v>37706302</v>
      </c>
      <c r="AA51" s="6">
        <v>39571425</v>
      </c>
      <c r="AB51" s="6">
        <v>36425560</v>
      </c>
      <c r="AC51" s="6">
        <v>38642789</v>
      </c>
      <c r="AD51" s="6">
        <v>56962932</v>
      </c>
      <c r="AE51" s="6">
        <v>58857592</v>
      </c>
      <c r="AF51" s="6">
        <v>61266635</v>
      </c>
      <c r="AG51" s="6">
        <v>62925859</v>
      </c>
      <c r="AH51" s="6">
        <v>43577620</v>
      </c>
      <c r="AI51" s="6">
        <v>42459349</v>
      </c>
      <c r="AJ51" s="6">
        <v>47484812</v>
      </c>
      <c r="AK51" s="6">
        <v>59018848</v>
      </c>
      <c r="AL51" s="6">
        <v>90642175</v>
      </c>
      <c r="AM51" s="6">
        <v>90348281</v>
      </c>
      <c r="AN51" s="6">
        <v>112458691</v>
      </c>
      <c r="AO51" s="6">
        <v>137998875</v>
      </c>
      <c r="AP51" s="6">
        <v>141200864</v>
      </c>
      <c r="AQ51" s="6">
        <v>179152388</v>
      </c>
      <c r="AR51" s="6">
        <v>167562969</v>
      </c>
      <c r="AS51" s="6">
        <v>151194118</v>
      </c>
      <c r="AT51" s="6">
        <v>153625650</v>
      </c>
      <c r="AU51" s="6">
        <v>159262494</v>
      </c>
      <c r="AV51" s="6">
        <v>153173002</v>
      </c>
      <c r="AW51" s="6">
        <v>172892747</v>
      </c>
      <c r="AX51" s="6">
        <v>154612416</v>
      </c>
      <c r="AY51" s="6">
        <v>138462274</v>
      </c>
      <c r="AZ51" s="6">
        <v>132239088</v>
      </c>
      <c r="BA51" s="6">
        <v>135313705</v>
      </c>
      <c r="BB51" s="6">
        <v>137064303</v>
      </c>
      <c r="BC51" s="6">
        <v>146643879</v>
      </c>
      <c r="BD51" s="6">
        <v>144982976</v>
      </c>
      <c r="BE51" s="6">
        <v>150267181</v>
      </c>
      <c r="BF51" s="6">
        <v>164019459</v>
      </c>
    </row>
    <row r="52" spans="1:58" x14ac:dyDescent="0.25">
      <c r="A52" s="14" t="s">
        <v>48</v>
      </c>
      <c r="B52" s="6">
        <v>22199978</v>
      </c>
      <c r="C52" s="6">
        <v>38188455</v>
      </c>
      <c r="D52" s="6">
        <v>14920718</v>
      </c>
      <c r="E52" s="6">
        <v>14599944</v>
      </c>
      <c r="F52" s="6">
        <v>15205091</v>
      </c>
      <c r="G52" s="6">
        <v>10788326</v>
      </c>
      <c r="H52" s="6">
        <v>4565048</v>
      </c>
      <c r="I52" s="6">
        <v>6790182</v>
      </c>
      <c r="J52" s="6">
        <v>8808145</v>
      </c>
      <c r="K52" s="6">
        <v>11981349</v>
      </c>
      <c r="L52" s="6">
        <v>7846677</v>
      </c>
      <c r="M52" s="6">
        <v>11563649</v>
      </c>
      <c r="N52" s="6">
        <v>8673550</v>
      </c>
      <c r="O52" s="6">
        <v>6813884</v>
      </c>
      <c r="P52" s="6">
        <v>8079207</v>
      </c>
      <c r="Q52" s="6">
        <v>13030851</v>
      </c>
      <c r="R52" s="6">
        <v>23087692</v>
      </c>
      <c r="S52" s="6">
        <v>20307004</v>
      </c>
      <c r="T52" s="6">
        <v>15114917</v>
      </c>
      <c r="U52" s="6">
        <v>10571671</v>
      </c>
      <c r="V52" s="6">
        <v>14733125</v>
      </c>
      <c r="W52" s="6">
        <v>17204581</v>
      </c>
      <c r="X52" s="6">
        <v>21274375</v>
      </c>
      <c r="Y52" s="6">
        <v>17873432</v>
      </c>
      <c r="Z52" s="6">
        <v>27935285</v>
      </c>
      <c r="AA52" s="6">
        <v>29388541</v>
      </c>
      <c r="AB52" s="6">
        <v>28973455</v>
      </c>
      <c r="AC52" s="6">
        <v>31158647</v>
      </c>
      <c r="AD52" s="6">
        <v>47002639</v>
      </c>
      <c r="AE52" s="6">
        <v>48419226</v>
      </c>
      <c r="AF52" s="6">
        <v>38632337</v>
      </c>
      <c r="AG52" s="6">
        <v>36325273</v>
      </c>
      <c r="AH52" s="6">
        <v>16726745</v>
      </c>
      <c r="AI52" s="6">
        <v>16856490</v>
      </c>
      <c r="AJ52" s="6">
        <v>21232089</v>
      </c>
      <c r="AK52" s="6">
        <v>24609538</v>
      </c>
      <c r="AL52" s="6">
        <v>43861247</v>
      </c>
      <c r="AM52" s="6">
        <v>31078825</v>
      </c>
      <c r="AN52" s="6">
        <v>45606142</v>
      </c>
      <c r="AO52" s="6">
        <v>60349404</v>
      </c>
      <c r="AP52" s="6">
        <v>57307332</v>
      </c>
      <c r="AQ52" s="6">
        <v>68284029</v>
      </c>
      <c r="AR52" s="6">
        <v>61293738</v>
      </c>
      <c r="AS52" s="6">
        <v>47939774</v>
      </c>
      <c r="AT52" s="6">
        <v>49594400</v>
      </c>
      <c r="AU52" s="6">
        <v>57582142</v>
      </c>
      <c r="AV52" s="6">
        <v>50619678</v>
      </c>
      <c r="AW52" s="6">
        <v>76496756</v>
      </c>
      <c r="AX52" s="6">
        <v>60471427</v>
      </c>
      <c r="AY52" s="6">
        <v>70584329</v>
      </c>
      <c r="AZ52" s="6">
        <v>72210834</v>
      </c>
      <c r="BA52" s="6">
        <v>81331394</v>
      </c>
      <c r="BB52" s="6">
        <v>91640536</v>
      </c>
      <c r="BC52" s="6">
        <v>93471217</v>
      </c>
      <c r="BD52" s="6">
        <v>83014313</v>
      </c>
      <c r="BE52" s="6">
        <v>86820944</v>
      </c>
      <c r="BF52" s="6">
        <v>90685022</v>
      </c>
    </row>
    <row r="53" spans="1:58" x14ac:dyDescent="0.25">
      <c r="A53" s="14" t="s">
        <v>49</v>
      </c>
      <c r="B53" s="6">
        <v>5583136</v>
      </c>
      <c r="C53" s="6">
        <v>9944288</v>
      </c>
      <c r="D53" s="6">
        <v>24249687</v>
      </c>
      <c r="E53" s="6">
        <v>19603493</v>
      </c>
      <c r="F53" s="6">
        <v>18785356</v>
      </c>
      <c r="G53" s="6">
        <v>13897851</v>
      </c>
      <c r="H53" s="6">
        <v>10659926</v>
      </c>
      <c r="I53" s="6">
        <v>9407496</v>
      </c>
      <c r="J53" s="6">
        <v>12698730</v>
      </c>
      <c r="K53" s="6">
        <v>12882872</v>
      </c>
      <c r="L53" s="6">
        <v>11624731</v>
      </c>
      <c r="M53" s="6">
        <v>15248067</v>
      </c>
      <c r="N53" s="6">
        <v>9242547</v>
      </c>
      <c r="O53" s="6">
        <v>5250885</v>
      </c>
      <c r="P53" s="6">
        <v>12666783</v>
      </c>
      <c r="Q53" s="6">
        <v>7503156</v>
      </c>
      <c r="R53" s="6">
        <v>8010844</v>
      </c>
      <c r="S53" s="6">
        <v>5292180</v>
      </c>
      <c r="T53" s="6">
        <v>9771209</v>
      </c>
      <c r="U53" s="6">
        <v>6345467</v>
      </c>
      <c r="V53" s="6">
        <v>6148831</v>
      </c>
      <c r="W53" s="6">
        <v>10850634</v>
      </c>
      <c r="X53" s="6">
        <v>25049450</v>
      </c>
      <c r="Y53" s="6">
        <v>7527539</v>
      </c>
      <c r="Z53" s="6">
        <v>9771017</v>
      </c>
      <c r="AA53" s="6">
        <v>10182884</v>
      </c>
      <c r="AB53" s="6">
        <v>7452105</v>
      </c>
      <c r="AC53" s="6">
        <v>7484142</v>
      </c>
      <c r="AD53" s="6">
        <v>9960293</v>
      </c>
      <c r="AE53" s="6">
        <v>10438366</v>
      </c>
      <c r="AF53" s="6">
        <v>22634298</v>
      </c>
      <c r="AG53" s="6">
        <v>26600586</v>
      </c>
      <c r="AH53" s="6">
        <v>26850875</v>
      </c>
      <c r="AI53" s="6">
        <v>25602859</v>
      </c>
      <c r="AJ53" s="6">
        <v>26252723</v>
      </c>
      <c r="AK53" s="6">
        <v>34409310</v>
      </c>
      <c r="AL53" s="6">
        <v>46780928</v>
      </c>
      <c r="AM53" s="6">
        <v>59269456</v>
      </c>
      <c r="AN53" s="6">
        <v>66852549</v>
      </c>
      <c r="AO53" s="6">
        <v>77649471</v>
      </c>
      <c r="AP53" s="6">
        <v>83893532</v>
      </c>
      <c r="AQ53" s="6">
        <v>110868359</v>
      </c>
      <c r="AR53" s="6">
        <v>106269231</v>
      </c>
      <c r="AS53" s="6">
        <v>103254344</v>
      </c>
      <c r="AT53" s="6">
        <v>104031250</v>
      </c>
      <c r="AU53" s="6">
        <v>101680352</v>
      </c>
      <c r="AV53" s="6">
        <v>102553324</v>
      </c>
      <c r="AW53" s="6">
        <v>96395991</v>
      </c>
      <c r="AX53" s="6">
        <v>94140989</v>
      </c>
      <c r="AY53" s="6">
        <v>67877945</v>
      </c>
      <c r="AZ53" s="6">
        <v>60028254</v>
      </c>
      <c r="BA53" s="6">
        <v>53982311</v>
      </c>
      <c r="BB53" s="6">
        <v>45423767</v>
      </c>
      <c r="BC53" s="6">
        <v>53172662</v>
      </c>
      <c r="BD53" s="6">
        <v>61968663</v>
      </c>
      <c r="BE53" s="6">
        <v>63446237</v>
      </c>
      <c r="BF53" s="6">
        <v>73334437</v>
      </c>
    </row>
    <row r="54" spans="1:58" x14ac:dyDescent="0.25">
      <c r="A54" s="5" t="s">
        <v>50</v>
      </c>
      <c r="B54" s="6">
        <v>80550753</v>
      </c>
      <c r="C54" s="6">
        <v>88647779</v>
      </c>
      <c r="D54" s="6">
        <v>111462288</v>
      </c>
      <c r="E54" s="6">
        <v>114096318</v>
      </c>
      <c r="F54" s="6">
        <v>111591140</v>
      </c>
      <c r="G54" s="6">
        <v>117236302</v>
      </c>
      <c r="H54" s="6">
        <v>119977924</v>
      </c>
      <c r="I54" s="6">
        <v>124013777</v>
      </c>
      <c r="J54" s="6">
        <v>124742612</v>
      </c>
      <c r="K54" s="6">
        <v>121733162</v>
      </c>
      <c r="L54" s="6">
        <v>131438399</v>
      </c>
      <c r="M54" s="6">
        <v>126886451</v>
      </c>
      <c r="N54" s="6">
        <v>129016057</v>
      </c>
      <c r="O54" s="6">
        <v>136630527</v>
      </c>
      <c r="P54" s="6">
        <v>142239546</v>
      </c>
      <c r="Q54" s="6">
        <v>148816851</v>
      </c>
      <c r="R54" s="6">
        <v>150033149</v>
      </c>
      <c r="S54" s="6">
        <v>163514669</v>
      </c>
      <c r="T54" s="6">
        <v>173448929</v>
      </c>
      <c r="U54" s="6">
        <v>178623027</v>
      </c>
      <c r="V54" s="6">
        <v>172102778</v>
      </c>
      <c r="W54" s="6">
        <v>166322843</v>
      </c>
      <c r="X54" s="6">
        <v>170970833</v>
      </c>
      <c r="Y54" s="6">
        <v>181390553</v>
      </c>
      <c r="Z54" s="6">
        <v>186283209</v>
      </c>
      <c r="AA54" s="6">
        <v>193583132</v>
      </c>
      <c r="AB54" s="6">
        <v>201471336</v>
      </c>
      <c r="AC54" s="6">
        <v>207978332</v>
      </c>
      <c r="AD54" s="6">
        <v>220262623</v>
      </c>
      <c r="AE54" s="6">
        <v>218654681</v>
      </c>
      <c r="AF54" s="6">
        <v>231296761</v>
      </c>
      <c r="AG54" s="6">
        <v>235098792</v>
      </c>
      <c r="AH54" s="6">
        <v>249857269</v>
      </c>
      <c r="AI54" s="6">
        <v>252572479</v>
      </c>
      <c r="AJ54" s="6">
        <v>277458651</v>
      </c>
      <c r="AK54" s="6">
        <v>287445926</v>
      </c>
      <c r="AL54" s="6">
        <v>289334731</v>
      </c>
      <c r="AM54" s="6">
        <v>316376047</v>
      </c>
      <c r="AN54" s="6">
        <v>314752525</v>
      </c>
      <c r="AO54" s="6">
        <v>328914024</v>
      </c>
      <c r="AP54" s="6">
        <v>321633599</v>
      </c>
      <c r="AQ54" s="6">
        <v>318918817</v>
      </c>
      <c r="AR54" s="6">
        <v>358403785</v>
      </c>
      <c r="AS54" s="6">
        <v>387297891</v>
      </c>
      <c r="AT54" s="6">
        <v>381946519</v>
      </c>
      <c r="AU54" s="6">
        <v>409044572</v>
      </c>
      <c r="AV54" s="6">
        <v>454660779</v>
      </c>
      <c r="AW54" s="6">
        <v>458040690</v>
      </c>
      <c r="AX54" s="6">
        <v>481860239</v>
      </c>
      <c r="AY54" s="6">
        <v>494954017</v>
      </c>
      <c r="AZ54" s="6">
        <v>533392350</v>
      </c>
      <c r="BA54" s="6">
        <v>531583052</v>
      </c>
      <c r="BB54" s="6">
        <v>545078843</v>
      </c>
      <c r="BC54" s="6">
        <v>595086941</v>
      </c>
      <c r="BD54" s="6">
        <v>618911535</v>
      </c>
      <c r="BE54" s="6">
        <v>599808238</v>
      </c>
      <c r="BF54" s="6">
        <v>662447730</v>
      </c>
    </row>
    <row r="55" spans="1:58" x14ac:dyDescent="0.25">
      <c r="A55" s="5" t="s">
        <v>51</v>
      </c>
      <c r="B55" s="6">
        <v>52888</v>
      </c>
      <c r="C55" s="4">
        <v>0</v>
      </c>
      <c r="D55" s="4">
        <v>0</v>
      </c>
      <c r="E55" s="4">
        <v>0</v>
      </c>
      <c r="F55" s="4">
        <v>0</v>
      </c>
      <c r="G55" s="6">
        <v>4266</v>
      </c>
      <c r="H55" s="6">
        <v>73157</v>
      </c>
      <c r="I55" s="6">
        <v>65805</v>
      </c>
      <c r="J55" s="6">
        <v>60050</v>
      </c>
      <c r="K55" s="6">
        <v>32892</v>
      </c>
      <c r="L55" s="6">
        <v>18409</v>
      </c>
      <c r="M55" s="6">
        <v>58638</v>
      </c>
      <c r="N55" s="6">
        <v>163723</v>
      </c>
      <c r="O55" s="6">
        <v>44470</v>
      </c>
      <c r="P55" s="6">
        <v>85891</v>
      </c>
      <c r="Q55" s="6">
        <v>64409</v>
      </c>
      <c r="R55" s="6">
        <v>139517</v>
      </c>
      <c r="S55" s="6">
        <v>57102</v>
      </c>
      <c r="T55" s="6">
        <v>67892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6">
        <v>67057</v>
      </c>
      <c r="AA55" s="6">
        <v>382672</v>
      </c>
      <c r="AB55" s="6">
        <v>310313</v>
      </c>
      <c r="AC55" s="6">
        <v>391265</v>
      </c>
      <c r="AD55" s="6">
        <v>368615</v>
      </c>
      <c r="AE55" s="6">
        <v>305999</v>
      </c>
      <c r="AF55" s="6">
        <v>434008</v>
      </c>
      <c r="AG55" s="6">
        <v>385465</v>
      </c>
      <c r="AH55" s="6">
        <v>364698</v>
      </c>
      <c r="AI55" s="6">
        <v>425907</v>
      </c>
      <c r="AJ55" s="6">
        <v>266926</v>
      </c>
      <c r="AK55" s="6">
        <v>76656</v>
      </c>
      <c r="AL55" s="4"/>
      <c r="AM55" s="4">
        <v>0</v>
      </c>
      <c r="AN55" s="4"/>
      <c r="AO55" s="4"/>
      <c r="AP55" s="4"/>
      <c r="AQ55" s="4"/>
      <c r="AR55" s="6">
        <v>1851213</v>
      </c>
      <c r="AS55" s="6">
        <v>974338</v>
      </c>
      <c r="AT55" s="4"/>
      <c r="AU55" s="4"/>
      <c r="AV55" s="4"/>
      <c r="AW55" s="4"/>
      <c r="AX55" s="4"/>
      <c r="AY55" s="4"/>
      <c r="AZ55" s="6">
        <v>931231</v>
      </c>
      <c r="BA55" s="6">
        <v>688536</v>
      </c>
      <c r="BB55" s="6">
        <v>1092859</v>
      </c>
      <c r="BC55" s="6">
        <v>1712153</v>
      </c>
      <c r="BD55" s="6">
        <v>2416947</v>
      </c>
      <c r="BE55" s="6">
        <v>2216311</v>
      </c>
      <c r="BF55" s="6">
        <v>2214942</v>
      </c>
    </row>
    <row r="56" spans="1:58" x14ac:dyDescent="0.25">
      <c r="A56" s="5" t="s">
        <v>52</v>
      </c>
      <c r="B56" s="6">
        <v>6641090</v>
      </c>
      <c r="C56" s="6">
        <v>252398</v>
      </c>
      <c r="D56" s="6">
        <v>127953</v>
      </c>
      <c r="E56" s="6">
        <v>110592</v>
      </c>
      <c r="F56" s="6">
        <v>95934</v>
      </c>
      <c r="G56" s="6">
        <v>80669</v>
      </c>
      <c r="H56" s="6">
        <v>64137</v>
      </c>
      <c r="I56" s="6">
        <v>64022</v>
      </c>
      <c r="J56" s="6">
        <v>69939</v>
      </c>
      <c r="K56" s="6">
        <v>58598</v>
      </c>
      <c r="L56" s="6">
        <v>67266</v>
      </c>
      <c r="M56" s="6">
        <v>62431</v>
      </c>
      <c r="N56" s="6">
        <v>60585</v>
      </c>
      <c r="O56" s="6">
        <v>132476</v>
      </c>
      <c r="P56" s="6">
        <v>336421</v>
      </c>
      <c r="Q56" s="6">
        <v>445168</v>
      </c>
      <c r="R56" s="6">
        <v>558006</v>
      </c>
      <c r="S56" s="6">
        <v>552527</v>
      </c>
      <c r="T56" s="6">
        <v>587383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/>
      <c r="AM56" s="4">
        <v>0</v>
      </c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</row>
    <row r="57" spans="1:58" x14ac:dyDescent="0.25">
      <c r="A57" s="5" t="s">
        <v>53</v>
      </c>
      <c r="B57" s="6">
        <v>15024217</v>
      </c>
      <c r="C57" s="6">
        <v>23094145</v>
      </c>
      <c r="D57" s="6">
        <v>10450843</v>
      </c>
      <c r="E57" s="6">
        <v>7646399</v>
      </c>
      <c r="F57" s="6">
        <v>6669731</v>
      </c>
      <c r="G57" s="6">
        <v>4536253</v>
      </c>
      <c r="H57" s="6">
        <v>5643295</v>
      </c>
      <c r="I57" s="6">
        <v>4658648</v>
      </c>
      <c r="J57" s="6">
        <v>4618833</v>
      </c>
      <c r="K57" s="6">
        <v>5571164</v>
      </c>
      <c r="L57" s="6">
        <v>6253623</v>
      </c>
      <c r="M57" s="6">
        <v>6441581</v>
      </c>
      <c r="N57" s="6">
        <v>6476563</v>
      </c>
      <c r="O57" s="6">
        <v>6394880</v>
      </c>
      <c r="P57" s="6">
        <v>8133896</v>
      </c>
      <c r="Q57" s="6">
        <v>8103106</v>
      </c>
      <c r="R57" s="6">
        <v>8048395</v>
      </c>
      <c r="S57" s="6">
        <v>9841851</v>
      </c>
      <c r="T57" s="6">
        <v>10414842</v>
      </c>
      <c r="U57" s="6">
        <v>10397338</v>
      </c>
      <c r="V57" s="6">
        <v>10320295</v>
      </c>
      <c r="W57" s="6">
        <v>11495301</v>
      </c>
      <c r="X57" s="6">
        <v>17639970</v>
      </c>
      <c r="Y57" s="6">
        <v>20074063</v>
      </c>
      <c r="Z57" s="6">
        <v>18904296</v>
      </c>
      <c r="AA57" s="6">
        <v>17240065</v>
      </c>
      <c r="AB57" s="6">
        <v>13177959</v>
      </c>
      <c r="AC57" s="6">
        <v>12865884</v>
      </c>
      <c r="AD57" s="6">
        <v>12642157</v>
      </c>
      <c r="AE57" s="6">
        <v>14488610</v>
      </c>
      <c r="AF57" s="6">
        <v>17460634</v>
      </c>
      <c r="AG57" s="6">
        <v>17472102</v>
      </c>
      <c r="AH57" s="6">
        <v>23404482</v>
      </c>
      <c r="AI57" s="6">
        <v>22784847</v>
      </c>
      <c r="AJ57" s="6">
        <v>27899640</v>
      </c>
      <c r="AK57" s="6">
        <v>26035440</v>
      </c>
      <c r="AL57" s="6">
        <v>27677665</v>
      </c>
      <c r="AM57" s="6">
        <v>34002680</v>
      </c>
      <c r="AN57" s="6">
        <v>33679824</v>
      </c>
      <c r="AO57" s="6">
        <v>32730686</v>
      </c>
      <c r="AP57" s="6">
        <v>37122383</v>
      </c>
      <c r="AQ57" s="6">
        <v>42858083</v>
      </c>
      <c r="AR57" s="6">
        <v>34006619</v>
      </c>
      <c r="AS57" s="6">
        <v>46729093</v>
      </c>
      <c r="AT57" s="6">
        <v>54957735</v>
      </c>
      <c r="AU57" s="6">
        <v>61825221</v>
      </c>
      <c r="AV57" s="6">
        <v>84703300</v>
      </c>
      <c r="AW57" s="6">
        <v>93776798</v>
      </c>
      <c r="AX57" s="6">
        <v>111985283</v>
      </c>
      <c r="AY57" s="6">
        <v>126061309</v>
      </c>
      <c r="AZ57" s="6">
        <v>140422321</v>
      </c>
      <c r="BA57" s="6">
        <v>147933070</v>
      </c>
      <c r="BB57" s="6">
        <v>172337642</v>
      </c>
      <c r="BC57" s="6">
        <v>181742521</v>
      </c>
      <c r="BD57" s="6">
        <v>215330128</v>
      </c>
      <c r="BE57" s="6">
        <v>217897008</v>
      </c>
      <c r="BF57" s="6">
        <v>212079904</v>
      </c>
    </row>
    <row r="58" spans="1:58" x14ac:dyDescent="0.25">
      <c r="A58" s="7" t="s">
        <v>54</v>
      </c>
      <c r="B58" s="6">
        <v>2758676</v>
      </c>
      <c r="C58" s="6">
        <v>4574761</v>
      </c>
      <c r="D58" s="6">
        <v>5231752</v>
      </c>
      <c r="E58" s="6">
        <v>6131222</v>
      </c>
      <c r="F58" s="6">
        <v>5263988</v>
      </c>
      <c r="G58" s="6">
        <v>5487285</v>
      </c>
      <c r="H58" s="6">
        <v>3993107</v>
      </c>
      <c r="I58" s="6">
        <v>4685906</v>
      </c>
      <c r="J58" s="6">
        <v>5421948</v>
      </c>
      <c r="K58" s="6">
        <v>3685969</v>
      </c>
      <c r="L58" s="6">
        <v>3666639</v>
      </c>
      <c r="M58" s="6">
        <v>3342219</v>
      </c>
      <c r="N58" s="6">
        <v>3356012</v>
      </c>
      <c r="O58" s="6">
        <v>3789193</v>
      </c>
      <c r="P58" s="6">
        <v>3939271</v>
      </c>
      <c r="Q58" s="6">
        <v>4083192</v>
      </c>
      <c r="R58" s="6">
        <v>5063096</v>
      </c>
      <c r="S58" s="6">
        <v>4461937</v>
      </c>
      <c r="T58" s="6">
        <v>4878003</v>
      </c>
      <c r="U58" s="6">
        <v>5500340</v>
      </c>
      <c r="V58" s="6">
        <v>6286128</v>
      </c>
      <c r="W58" s="6">
        <v>6195231</v>
      </c>
      <c r="X58" s="6">
        <v>6527007</v>
      </c>
      <c r="Y58" s="6">
        <v>6671310</v>
      </c>
      <c r="Z58" s="6">
        <v>8014504</v>
      </c>
      <c r="AA58" s="6">
        <v>9537341</v>
      </c>
      <c r="AB58" s="6">
        <v>11856553</v>
      </c>
      <c r="AC58" s="6">
        <v>9659622</v>
      </c>
      <c r="AD58" s="6">
        <v>10996923</v>
      </c>
      <c r="AE58" s="6">
        <v>14290857</v>
      </c>
      <c r="AF58" s="6">
        <v>11168656</v>
      </c>
      <c r="AG58" s="6">
        <v>10331032</v>
      </c>
      <c r="AH58" s="6">
        <v>11227779</v>
      </c>
      <c r="AI58" s="6">
        <v>12610794</v>
      </c>
      <c r="AJ58" s="6">
        <v>11878118</v>
      </c>
      <c r="AK58" s="6">
        <v>11151366</v>
      </c>
      <c r="AL58" s="6">
        <v>12747866</v>
      </c>
      <c r="AM58" s="6">
        <v>12508364</v>
      </c>
      <c r="AN58" s="6">
        <v>14863716</v>
      </c>
      <c r="AO58" s="6">
        <v>16817575</v>
      </c>
      <c r="AP58" s="6">
        <v>19304188</v>
      </c>
      <c r="AQ58" s="6">
        <v>20519286</v>
      </c>
      <c r="AR58" s="6">
        <v>23775166</v>
      </c>
      <c r="AS58" s="6">
        <v>19235333</v>
      </c>
      <c r="AT58" s="6">
        <v>19338995</v>
      </c>
      <c r="AU58" s="6">
        <v>23967022</v>
      </c>
      <c r="AV58" s="6">
        <v>25316735</v>
      </c>
      <c r="AW58" s="6">
        <v>22131575</v>
      </c>
      <c r="AX58" s="6">
        <v>20886724</v>
      </c>
      <c r="AY58" s="6">
        <v>23187221</v>
      </c>
      <c r="AZ58" s="6">
        <v>23862407</v>
      </c>
      <c r="BA58" s="6">
        <v>19626586</v>
      </c>
      <c r="BB58" s="6">
        <v>20197599</v>
      </c>
      <c r="BC58" s="6">
        <v>24913117</v>
      </c>
      <c r="BD58" s="6">
        <v>26877242</v>
      </c>
      <c r="BE58" s="6">
        <v>28909114</v>
      </c>
      <c r="BF58" s="6">
        <v>35071955</v>
      </c>
    </row>
    <row r="59" spans="1:58" x14ac:dyDescent="0.25">
      <c r="A59" s="14" t="s">
        <v>55</v>
      </c>
      <c r="B59" s="6">
        <v>1378833</v>
      </c>
      <c r="C59" s="6">
        <v>1832106</v>
      </c>
      <c r="D59" s="6">
        <v>1782516</v>
      </c>
      <c r="E59" s="6">
        <v>1901031</v>
      </c>
      <c r="F59" s="6">
        <v>2150921</v>
      </c>
      <c r="G59" s="6">
        <v>1734360</v>
      </c>
      <c r="H59" s="6">
        <v>1861191</v>
      </c>
      <c r="I59" s="6">
        <v>2309346</v>
      </c>
      <c r="J59" s="6">
        <v>2264577</v>
      </c>
      <c r="K59" s="6">
        <v>1664694</v>
      </c>
      <c r="L59" s="6">
        <v>1907877</v>
      </c>
      <c r="M59" s="6">
        <v>1829197</v>
      </c>
      <c r="N59" s="6">
        <v>1901223</v>
      </c>
      <c r="O59" s="6">
        <v>1981812</v>
      </c>
      <c r="P59" s="6">
        <v>2087164</v>
      </c>
      <c r="Q59" s="6">
        <v>2283158</v>
      </c>
      <c r="R59" s="6">
        <v>2488207</v>
      </c>
      <c r="S59" s="6">
        <v>2352736</v>
      </c>
      <c r="T59" s="6">
        <v>2195083</v>
      </c>
      <c r="U59" s="6">
        <v>2425981</v>
      </c>
      <c r="V59" s="6">
        <v>2887643</v>
      </c>
      <c r="W59" s="6">
        <v>2938268</v>
      </c>
      <c r="X59" s="6">
        <v>2764162</v>
      </c>
      <c r="Y59" s="6">
        <v>2860681</v>
      </c>
      <c r="Z59" s="6">
        <v>3079127</v>
      </c>
      <c r="AA59" s="6">
        <v>3562788</v>
      </c>
      <c r="AB59" s="6">
        <v>3424944</v>
      </c>
      <c r="AC59" s="6">
        <v>3498146</v>
      </c>
      <c r="AD59" s="6">
        <v>3796678</v>
      </c>
      <c r="AE59" s="6">
        <v>3541502</v>
      </c>
      <c r="AF59" s="6">
        <v>3479310</v>
      </c>
      <c r="AG59" s="6">
        <v>3613006</v>
      </c>
      <c r="AH59" s="6">
        <v>3927501</v>
      </c>
      <c r="AI59" s="6">
        <v>3736099</v>
      </c>
      <c r="AJ59" s="6">
        <v>3252009</v>
      </c>
      <c r="AK59" s="6">
        <v>2896917</v>
      </c>
      <c r="AL59" s="6">
        <v>2642628</v>
      </c>
      <c r="AM59" s="6">
        <v>3074314</v>
      </c>
      <c r="AN59" s="6">
        <v>3098242</v>
      </c>
      <c r="AO59" s="6">
        <v>3369383</v>
      </c>
      <c r="AP59" s="6">
        <v>3375373</v>
      </c>
      <c r="AQ59" s="6">
        <v>4750294</v>
      </c>
      <c r="AR59" s="6">
        <v>6144022</v>
      </c>
      <c r="AS59" s="6">
        <v>8302980</v>
      </c>
      <c r="AT59" s="6">
        <v>8118329</v>
      </c>
      <c r="AU59" s="6">
        <v>8738690</v>
      </c>
      <c r="AV59" s="6">
        <v>9418750</v>
      </c>
      <c r="AW59" s="6">
        <v>8125980</v>
      </c>
      <c r="AX59" s="6">
        <v>7013050</v>
      </c>
      <c r="AY59" s="6">
        <v>7309545</v>
      </c>
      <c r="AZ59" s="6">
        <v>7281567</v>
      </c>
      <c r="BA59" s="6">
        <v>7926111</v>
      </c>
      <c r="BB59" s="6">
        <v>7464091</v>
      </c>
      <c r="BC59" s="6">
        <v>8187281</v>
      </c>
      <c r="BD59" s="6">
        <v>9448719</v>
      </c>
      <c r="BE59" s="6">
        <v>11296027</v>
      </c>
      <c r="BF59" s="6">
        <v>13509983</v>
      </c>
    </row>
    <row r="60" spans="1:58" x14ac:dyDescent="0.25">
      <c r="A60" s="14" t="s">
        <v>56</v>
      </c>
      <c r="B60" s="4"/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6">
        <v>10749355</v>
      </c>
      <c r="AF60" s="4">
        <v>0</v>
      </c>
      <c r="AG60" s="4">
        <v>0</v>
      </c>
      <c r="AH60" s="6">
        <v>7300278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/>
      <c r="AP60" s="4"/>
      <c r="AQ60" s="4"/>
      <c r="AR60" s="4"/>
      <c r="AS60" s="4"/>
      <c r="AT60" s="4"/>
      <c r="AU60" s="4"/>
      <c r="AV60" s="4"/>
      <c r="AW60" s="4"/>
      <c r="AX60" s="6">
        <v>13873674</v>
      </c>
      <c r="AY60" s="4"/>
      <c r="AZ60" s="4"/>
      <c r="BA60" s="4"/>
      <c r="BB60" s="4"/>
      <c r="BC60" s="4"/>
      <c r="BD60" s="4"/>
      <c r="BE60" s="4"/>
      <c r="BF60" s="4"/>
    </row>
    <row r="61" spans="1:58" x14ac:dyDescent="0.25">
      <c r="A61" s="14" t="s">
        <v>57</v>
      </c>
      <c r="B61" s="6">
        <v>1303439</v>
      </c>
      <c r="C61" s="6">
        <v>2629881</v>
      </c>
      <c r="D61" s="6">
        <v>3333174</v>
      </c>
      <c r="E61" s="6">
        <v>4128455</v>
      </c>
      <c r="F61" s="6">
        <v>2987390</v>
      </c>
      <c r="G61" s="6">
        <v>3630865</v>
      </c>
      <c r="H61" s="6">
        <v>2020106</v>
      </c>
      <c r="I61" s="6">
        <v>2268705</v>
      </c>
      <c r="J61" s="6">
        <v>3043067</v>
      </c>
      <c r="K61" s="6">
        <v>2021275</v>
      </c>
      <c r="L61" s="6">
        <v>1758762</v>
      </c>
      <c r="M61" s="6">
        <v>1513022</v>
      </c>
      <c r="N61" s="6">
        <v>1454789</v>
      </c>
      <c r="O61" s="6">
        <v>1807381</v>
      </c>
      <c r="P61" s="6">
        <v>1852107</v>
      </c>
      <c r="Q61" s="6">
        <v>1800034</v>
      </c>
      <c r="R61" s="6">
        <v>2574889</v>
      </c>
      <c r="S61" s="6">
        <v>2109201</v>
      </c>
      <c r="T61" s="6">
        <v>2682920</v>
      </c>
      <c r="U61" s="6">
        <v>3074359</v>
      </c>
      <c r="V61" s="6">
        <v>3398485</v>
      </c>
      <c r="W61" s="6">
        <v>3256963</v>
      </c>
      <c r="X61" s="6">
        <v>3762845</v>
      </c>
      <c r="Y61" s="6">
        <v>3810629</v>
      </c>
      <c r="Z61" s="6">
        <v>4935377</v>
      </c>
      <c r="AA61" s="6">
        <v>5974553</v>
      </c>
      <c r="AB61" s="6">
        <v>8431609</v>
      </c>
      <c r="AC61" s="6">
        <v>6161476</v>
      </c>
      <c r="AD61" s="6">
        <v>7200245</v>
      </c>
      <c r="AE61" s="4">
        <v>0</v>
      </c>
      <c r="AF61" s="6">
        <v>7689346</v>
      </c>
      <c r="AG61" s="6">
        <v>6718026</v>
      </c>
      <c r="AH61" s="4">
        <v>0</v>
      </c>
      <c r="AI61" s="6">
        <v>8874695</v>
      </c>
      <c r="AJ61" s="6">
        <v>8626109</v>
      </c>
      <c r="AK61" s="6">
        <v>8254449</v>
      </c>
      <c r="AL61" s="6">
        <v>10105238</v>
      </c>
      <c r="AM61" s="6">
        <v>9434050</v>
      </c>
      <c r="AN61" s="6">
        <v>11765474</v>
      </c>
      <c r="AO61" s="6">
        <v>13448192</v>
      </c>
      <c r="AP61" s="6">
        <v>15928815</v>
      </c>
      <c r="AQ61" s="6">
        <v>15768992</v>
      </c>
      <c r="AR61" s="6">
        <v>17631144</v>
      </c>
      <c r="AS61" s="6">
        <v>10932353</v>
      </c>
      <c r="AT61" s="6">
        <v>11220666</v>
      </c>
      <c r="AU61" s="6">
        <v>15228332</v>
      </c>
      <c r="AV61" s="6">
        <v>15897985</v>
      </c>
      <c r="AW61" s="6">
        <v>14005595</v>
      </c>
      <c r="AX61" s="4"/>
      <c r="AY61" s="6">
        <v>15877676</v>
      </c>
      <c r="AZ61" s="6">
        <v>16580840</v>
      </c>
      <c r="BA61" s="6">
        <v>11700475</v>
      </c>
      <c r="BB61" s="6">
        <v>12733508</v>
      </c>
      <c r="BC61" s="6">
        <v>16725836</v>
      </c>
      <c r="BD61" s="6">
        <v>17428523</v>
      </c>
      <c r="BE61" s="6">
        <v>17613087</v>
      </c>
      <c r="BF61" s="6">
        <v>21561972</v>
      </c>
    </row>
    <row r="62" spans="1:58" x14ac:dyDescent="0.25">
      <c r="A62" s="14" t="s">
        <v>58</v>
      </c>
      <c r="B62" s="6">
        <v>76404</v>
      </c>
      <c r="C62" s="6">
        <v>112774</v>
      </c>
      <c r="D62" s="6">
        <v>116062</v>
      </c>
      <c r="E62" s="6">
        <v>101736</v>
      </c>
      <c r="F62" s="6">
        <v>125677</v>
      </c>
      <c r="G62" s="6">
        <v>122060</v>
      </c>
      <c r="H62" s="6">
        <v>111810</v>
      </c>
      <c r="I62" s="6">
        <v>107855</v>
      </c>
      <c r="J62" s="6">
        <v>114304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/>
      <c r="AM62" s="4">
        <v>0</v>
      </c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</row>
    <row r="63" spans="1:58" x14ac:dyDescent="0.25">
      <c r="A63" s="7" t="s">
        <v>59</v>
      </c>
      <c r="B63" s="6">
        <v>9389161</v>
      </c>
      <c r="C63" s="6">
        <v>12511735</v>
      </c>
      <c r="D63" s="6">
        <v>13289576</v>
      </c>
      <c r="E63" s="6">
        <v>13674935</v>
      </c>
      <c r="F63" s="6">
        <v>13783201</v>
      </c>
      <c r="G63" s="6">
        <v>13847834</v>
      </c>
      <c r="H63" s="6">
        <v>13920069</v>
      </c>
      <c r="I63" s="6">
        <v>14448747</v>
      </c>
      <c r="J63" s="6">
        <v>14660821</v>
      </c>
      <c r="K63" s="6">
        <v>14822261</v>
      </c>
      <c r="L63" s="6">
        <v>14999710</v>
      </c>
      <c r="M63" s="6">
        <v>15294320</v>
      </c>
      <c r="N63" s="6">
        <v>15755036</v>
      </c>
      <c r="O63" s="6">
        <v>16160598</v>
      </c>
      <c r="P63" s="6">
        <v>16528060</v>
      </c>
      <c r="Q63" s="6">
        <v>16956559</v>
      </c>
      <c r="R63" s="6">
        <v>17735597</v>
      </c>
      <c r="S63" s="6">
        <v>18742685</v>
      </c>
      <c r="T63" s="6">
        <v>19631881</v>
      </c>
      <c r="U63" s="6">
        <v>20652506</v>
      </c>
      <c r="V63" s="6">
        <v>21751117</v>
      </c>
      <c r="W63" s="6">
        <v>19433187</v>
      </c>
      <c r="X63" s="6">
        <v>26930745</v>
      </c>
      <c r="Y63" s="6">
        <v>37615799</v>
      </c>
      <c r="Z63" s="6">
        <v>47429440</v>
      </c>
      <c r="AA63" s="6">
        <v>49481001</v>
      </c>
      <c r="AB63" s="6">
        <v>51713388</v>
      </c>
      <c r="AC63" s="6">
        <v>53796360</v>
      </c>
      <c r="AD63" s="6">
        <v>56192914</v>
      </c>
      <c r="AE63" s="6">
        <v>58739578</v>
      </c>
      <c r="AF63" s="6">
        <v>61780596</v>
      </c>
      <c r="AG63" s="6">
        <v>64250283</v>
      </c>
      <c r="AH63" s="6">
        <v>67053679</v>
      </c>
      <c r="AI63" s="6">
        <v>70151580</v>
      </c>
      <c r="AJ63" s="6">
        <v>74130917</v>
      </c>
      <c r="AK63" s="6">
        <v>78529511</v>
      </c>
      <c r="AL63" s="6">
        <v>83242225</v>
      </c>
      <c r="AM63" s="6">
        <v>87631201</v>
      </c>
      <c r="AN63" s="6">
        <v>92211009</v>
      </c>
      <c r="AO63" s="6">
        <v>97701916</v>
      </c>
      <c r="AP63" s="6">
        <v>103512355</v>
      </c>
      <c r="AQ63" s="6">
        <v>108866771</v>
      </c>
      <c r="AR63" s="6">
        <v>112296051</v>
      </c>
      <c r="AS63" s="6">
        <v>116795445</v>
      </c>
      <c r="AT63" s="6">
        <v>121246605</v>
      </c>
      <c r="AU63" s="6">
        <v>125855659</v>
      </c>
      <c r="AV63" s="6">
        <v>130311232</v>
      </c>
      <c r="AW63" s="6">
        <v>136499887</v>
      </c>
      <c r="AX63" s="6">
        <v>137169729</v>
      </c>
      <c r="AY63" s="6">
        <v>142930537</v>
      </c>
      <c r="AZ63" s="6">
        <v>145419155</v>
      </c>
      <c r="BA63" s="6">
        <v>151366648</v>
      </c>
      <c r="BB63" s="6">
        <v>157614010</v>
      </c>
      <c r="BC63" s="6">
        <v>164033067</v>
      </c>
      <c r="BD63" s="6">
        <v>170044504</v>
      </c>
      <c r="BE63" s="6">
        <v>176895666</v>
      </c>
      <c r="BF63" s="6">
        <v>179162267</v>
      </c>
    </row>
    <row r="64" spans="1:58" x14ac:dyDescent="0.25">
      <c r="A64" s="15" t="s">
        <v>60</v>
      </c>
      <c r="B64" s="6">
        <v>6932555</v>
      </c>
      <c r="C64" s="6">
        <v>8788450</v>
      </c>
      <c r="D64" s="6">
        <v>8848079</v>
      </c>
      <c r="E64" s="6">
        <v>8848079</v>
      </c>
      <c r="F64" s="6">
        <v>8848079</v>
      </c>
      <c r="G64" s="6">
        <v>8848079</v>
      </c>
      <c r="H64" s="6">
        <v>8878079</v>
      </c>
      <c r="I64" s="6">
        <v>8878079</v>
      </c>
      <c r="J64" s="6">
        <v>8878079</v>
      </c>
      <c r="K64" s="6">
        <v>8878079</v>
      </c>
      <c r="L64" s="6">
        <v>8878079</v>
      </c>
      <c r="M64" s="6">
        <v>8878079</v>
      </c>
      <c r="N64" s="6">
        <v>8878079</v>
      </c>
      <c r="O64" s="6">
        <v>8878079</v>
      </c>
      <c r="P64" s="6">
        <v>8878079</v>
      </c>
      <c r="Q64" s="6">
        <v>8878079</v>
      </c>
      <c r="R64" s="6">
        <v>8878079</v>
      </c>
      <c r="S64" s="6">
        <v>8878079</v>
      </c>
      <c r="T64" s="6">
        <v>8878079</v>
      </c>
      <c r="U64" s="6">
        <v>8878079</v>
      </c>
      <c r="V64" s="6">
        <v>8878079</v>
      </c>
      <c r="W64" s="6">
        <v>4834830</v>
      </c>
      <c r="X64" s="6">
        <v>9777116</v>
      </c>
      <c r="Y64" s="6">
        <v>18408877</v>
      </c>
      <c r="Z64" s="6">
        <v>26126384</v>
      </c>
      <c r="AA64" s="6">
        <v>35442869</v>
      </c>
      <c r="AB64" s="6">
        <v>39310385</v>
      </c>
      <c r="AC64" s="6">
        <v>35442539</v>
      </c>
      <c r="AD64" s="6">
        <v>35442539</v>
      </c>
      <c r="AE64" s="6">
        <v>35442539</v>
      </c>
      <c r="AF64" s="6">
        <v>35477967</v>
      </c>
      <c r="AG64" s="6">
        <v>35477962</v>
      </c>
      <c r="AH64" s="6">
        <v>35477962</v>
      </c>
      <c r="AI64" s="6">
        <v>35477962</v>
      </c>
      <c r="AJ64" s="6">
        <v>35525569</v>
      </c>
      <c r="AK64" s="6">
        <v>35525569</v>
      </c>
      <c r="AL64" s="6">
        <v>35525569</v>
      </c>
      <c r="AM64" s="6">
        <v>35585622</v>
      </c>
      <c r="AN64" s="6">
        <v>35585622</v>
      </c>
      <c r="AO64" s="6">
        <v>35585622</v>
      </c>
      <c r="AP64" s="6">
        <v>35585622</v>
      </c>
      <c r="AQ64" s="6">
        <v>35648805</v>
      </c>
      <c r="AR64" s="6">
        <v>36204797</v>
      </c>
      <c r="AS64" s="6">
        <v>36204797</v>
      </c>
      <c r="AT64" s="6">
        <v>36204797</v>
      </c>
      <c r="AU64" s="6">
        <v>36204797</v>
      </c>
      <c r="AV64" s="6">
        <v>36257461</v>
      </c>
      <c r="AW64" s="6">
        <v>36257461</v>
      </c>
      <c r="AX64" s="6">
        <v>71006213</v>
      </c>
      <c r="AY64" s="6">
        <v>71006213</v>
      </c>
      <c r="AZ64" s="6">
        <v>78412544</v>
      </c>
      <c r="BA64" s="6">
        <v>78412544</v>
      </c>
      <c r="BB64" s="6">
        <v>78412544</v>
      </c>
      <c r="BC64" s="6">
        <v>78412544</v>
      </c>
      <c r="BD64" s="6">
        <v>78626366</v>
      </c>
      <c r="BE64" s="6">
        <v>78808792</v>
      </c>
      <c r="BF64" s="6">
        <v>82324295</v>
      </c>
    </row>
    <row r="65" spans="1:62" x14ac:dyDescent="0.25">
      <c r="A65" s="16" t="s">
        <v>119</v>
      </c>
      <c r="B65" s="6">
        <v>6932184</v>
      </c>
      <c r="C65" s="6">
        <v>8788079</v>
      </c>
      <c r="D65" s="6">
        <v>8848079</v>
      </c>
      <c r="E65" s="6">
        <v>8848079</v>
      </c>
      <c r="F65" s="6">
        <v>8848079</v>
      </c>
      <c r="G65" s="6">
        <v>8848079</v>
      </c>
      <c r="H65" s="6">
        <v>8878079</v>
      </c>
      <c r="I65" s="6">
        <v>8878079</v>
      </c>
      <c r="J65" s="6">
        <v>8878079</v>
      </c>
      <c r="K65" s="6">
        <v>8878079</v>
      </c>
      <c r="L65" s="6">
        <v>8878079</v>
      </c>
      <c r="M65" s="6">
        <v>8878079</v>
      </c>
      <c r="N65" s="6">
        <v>8878079</v>
      </c>
      <c r="O65" s="6">
        <v>8878079</v>
      </c>
      <c r="P65" s="6">
        <v>8878079</v>
      </c>
      <c r="Q65" s="6">
        <v>8878079</v>
      </c>
      <c r="R65" s="6">
        <v>8878079</v>
      </c>
      <c r="S65" s="6">
        <v>8878079</v>
      </c>
      <c r="T65" s="6">
        <v>8878079</v>
      </c>
      <c r="U65" s="6">
        <v>8878079</v>
      </c>
      <c r="V65" s="6">
        <v>8878079</v>
      </c>
      <c r="W65" s="6">
        <v>8878079</v>
      </c>
      <c r="X65" s="6">
        <v>11655307</v>
      </c>
      <c r="Y65" s="6">
        <v>11655307</v>
      </c>
      <c r="Z65" s="6">
        <v>11655307</v>
      </c>
      <c r="AA65" s="6">
        <v>34965922</v>
      </c>
      <c r="AB65" s="6">
        <v>34965922</v>
      </c>
      <c r="AC65" s="6">
        <v>34965922</v>
      </c>
      <c r="AD65" s="6">
        <v>34965922</v>
      </c>
      <c r="AE65" s="6">
        <v>34965922</v>
      </c>
      <c r="AF65" s="6">
        <v>35001400</v>
      </c>
      <c r="AG65" s="6">
        <v>35001400</v>
      </c>
      <c r="AH65" s="6">
        <v>35001400</v>
      </c>
      <c r="AI65" s="6">
        <v>35001400</v>
      </c>
      <c r="AJ65" s="6">
        <v>35049062</v>
      </c>
      <c r="AK65" s="6">
        <v>35049062</v>
      </c>
      <c r="AL65" s="6">
        <v>35049062</v>
      </c>
      <c r="AM65" s="6">
        <v>35109148</v>
      </c>
      <c r="AN65" s="6">
        <v>35109148</v>
      </c>
      <c r="AO65" s="6">
        <v>35109148</v>
      </c>
      <c r="AP65" s="6">
        <v>35109148</v>
      </c>
      <c r="AQ65" s="6">
        <v>35172385</v>
      </c>
      <c r="AR65" s="6">
        <v>35172385</v>
      </c>
      <c r="AS65" s="6">
        <v>35172385</v>
      </c>
      <c r="AT65" s="6">
        <v>35172385</v>
      </c>
      <c r="AU65" s="6">
        <v>35172385</v>
      </c>
      <c r="AV65" s="6">
        <v>35225108</v>
      </c>
      <c r="AW65" s="6">
        <v>35225108</v>
      </c>
      <c r="AX65" s="6">
        <v>70450216</v>
      </c>
      <c r="AY65" s="6">
        <v>70450216</v>
      </c>
      <c r="AZ65" s="6">
        <v>70648517</v>
      </c>
      <c r="BA65" s="6">
        <v>70648517</v>
      </c>
      <c r="BB65" s="6">
        <v>70648517</v>
      </c>
      <c r="BC65" s="6">
        <v>70648517</v>
      </c>
      <c r="BD65" s="6">
        <v>70862404</v>
      </c>
      <c r="BE65" s="6">
        <v>70862404</v>
      </c>
      <c r="BF65" s="6">
        <v>70862404</v>
      </c>
    </row>
    <row r="66" spans="1:62" x14ac:dyDescent="0.25">
      <c r="A66" s="16" t="s">
        <v>120</v>
      </c>
      <c r="B66" s="4"/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/>
      <c r="AM66" s="4">
        <v>0</v>
      </c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>
        <v>0</v>
      </c>
      <c r="BE66" s="4"/>
      <c r="BF66" s="4"/>
    </row>
    <row r="67" spans="1:62" x14ac:dyDescent="0.25">
      <c r="A67" s="16" t="s">
        <v>121</v>
      </c>
      <c r="B67" s="4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6">
        <v>2165058</v>
      </c>
      <c r="Y67" s="6">
        <v>8265307</v>
      </c>
      <c r="Z67" s="6">
        <v>14471077</v>
      </c>
      <c r="AA67" s="6">
        <v>476947</v>
      </c>
      <c r="AB67" s="6">
        <v>476617</v>
      </c>
      <c r="AC67" s="6">
        <v>476617</v>
      </c>
      <c r="AD67" s="6">
        <v>476617</v>
      </c>
      <c r="AE67" s="6">
        <v>476617</v>
      </c>
      <c r="AF67" s="6">
        <v>476567</v>
      </c>
      <c r="AG67" s="6">
        <v>476562</v>
      </c>
      <c r="AH67" s="6">
        <v>476562</v>
      </c>
      <c r="AI67" s="6">
        <v>476562</v>
      </c>
      <c r="AJ67" s="6">
        <v>476507</v>
      </c>
      <c r="AK67" s="6">
        <v>476507</v>
      </c>
      <c r="AL67" s="6">
        <v>476507</v>
      </c>
      <c r="AM67" s="6">
        <v>476474</v>
      </c>
      <c r="AN67" s="6">
        <v>476474</v>
      </c>
      <c r="AO67" s="6">
        <v>476474</v>
      </c>
      <c r="AP67" s="6">
        <v>476474</v>
      </c>
      <c r="AQ67" s="6">
        <v>476420</v>
      </c>
      <c r="AR67" s="6">
        <v>476415</v>
      </c>
      <c r="AS67" s="6">
        <v>476415</v>
      </c>
      <c r="AT67" s="6">
        <v>476415</v>
      </c>
      <c r="AU67" s="6">
        <v>476415</v>
      </c>
      <c r="AV67" s="6">
        <v>476356</v>
      </c>
      <c r="AW67" s="6">
        <v>476356</v>
      </c>
      <c r="AX67" s="4"/>
      <c r="AY67" s="4"/>
      <c r="AZ67" s="4">
        <v>-59</v>
      </c>
      <c r="BA67" s="4">
        <v>-59</v>
      </c>
      <c r="BB67" s="4">
        <v>-59</v>
      </c>
      <c r="BC67" s="4">
        <v>-59</v>
      </c>
      <c r="BD67" s="4">
        <v>-124</v>
      </c>
      <c r="BE67" s="4">
        <v>-124</v>
      </c>
      <c r="BF67" s="4">
        <v>-124</v>
      </c>
    </row>
    <row r="68" spans="1:62" x14ac:dyDescent="0.25">
      <c r="A68" s="16" t="s">
        <v>122</v>
      </c>
      <c r="B68" s="4"/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6">
        <v>-4043249</v>
      </c>
      <c r="X68" s="6">
        <v>-4043249</v>
      </c>
      <c r="Y68" s="6">
        <v>-1511737</v>
      </c>
      <c r="Z68" s="4">
        <v>0</v>
      </c>
      <c r="AA68" s="4">
        <v>0</v>
      </c>
      <c r="AB68" s="6">
        <v>3867846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/>
      <c r="AM68" s="4">
        <v>0</v>
      </c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 spans="1:62" x14ac:dyDescent="0.25">
      <c r="A69" s="16" t="s">
        <v>123</v>
      </c>
      <c r="B69" s="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/>
      <c r="AM69" s="4">
        <v>0</v>
      </c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</row>
    <row r="70" spans="1:62" x14ac:dyDescent="0.25">
      <c r="A70" s="16" t="s">
        <v>124</v>
      </c>
      <c r="B70" s="4">
        <v>371</v>
      </c>
      <c r="C70" s="4">
        <v>371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/>
      <c r="AM70" s="4">
        <v>0</v>
      </c>
      <c r="AN70" s="4"/>
      <c r="AO70" s="4"/>
      <c r="AP70" s="4"/>
      <c r="AQ70" s="4"/>
      <c r="AR70" s="6">
        <v>555997</v>
      </c>
      <c r="AS70" s="6">
        <v>555997</v>
      </c>
      <c r="AT70" s="6">
        <v>555997</v>
      </c>
      <c r="AU70" s="6">
        <v>555997</v>
      </c>
      <c r="AV70" s="6">
        <v>555997</v>
      </c>
      <c r="AW70" s="6">
        <v>555997</v>
      </c>
      <c r="AX70" s="6">
        <v>555997</v>
      </c>
      <c r="AY70" s="6">
        <v>555997</v>
      </c>
      <c r="AZ70" s="6">
        <v>7764086</v>
      </c>
      <c r="BA70" s="6">
        <v>7764086</v>
      </c>
      <c r="BB70" s="6">
        <v>7764086</v>
      </c>
      <c r="BC70" s="6">
        <v>7764086</v>
      </c>
      <c r="BD70" s="6">
        <v>7764086</v>
      </c>
      <c r="BE70" s="6">
        <v>7946512</v>
      </c>
      <c r="BF70" s="6">
        <v>11462015</v>
      </c>
    </row>
    <row r="71" spans="1:62" x14ac:dyDescent="0.25">
      <c r="A71" s="14" t="s">
        <v>61</v>
      </c>
      <c r="B71" s="6">
        <v>691111</v>
      </c>
      <c r="C71" s="6">
        <v>1055128</v>
      </c>
      <c r="D71" s="6">
        <v>3475052</v>
      </c>
      <c r="E71" s="6">
        <v>3475745</v>
      </c>
      <c r="F71" s="6">
        <v>4278955</v>
      </c>
      <c r="G71" s="6">
        <v>4278769</v>
      </c>
      <c r="H71" s="6">
        <v>4369596</v>
      </c>
      <c r="I71" s="6">
        <v>4372389</v>
      </c>
      <c r="J71" s="6">
        <v>4372273</v>
      </c>
      <c r="K71" s="6">
        <v>4371277</v>
      </c>
      <c r="L71" s="6">
        <v>4551561</v>
      </c>
      <c r="M71" s="6">
        <v>4549586</v>
      </c>
      <c r="N71" s="6">
        <v>4549564</v>
      </c>
      <c r="O71" s="6">
        <v>4549151</v>
      </c>
      <c r="P71" s="6">
        <v>4752967</v>
      </c>
      <c r="Q71" s="6">
        <v>4744903</v>
      </c>
      <c r="R71" s="6">
        <v>4744778</v>
      </c>
      <c r="S71" s="6">
        <v>4744776</v>
      </c>
      <c r="T71" s="6">
        <v>5222680</v>
      </c>
      <c r="U71" s="6">
        <v>5219182</v>
      </c>
      <c r="V71" s="6">
        <v>5219158</v>
      </c>
      <c r="W71" s="6">
        <v>5219157</v>
      </c>
      <c r="X71" s="6">
        <v>6156928</v>
      </c>
      <c r="Y71" s="6">
        <v>6147506</v>
      </c>
      <c r="Z71" s="6">
        <v>6147506</v>
      </c>
      <c r="AA71" s="6">
        <v>2650914</v>
      </c>
      <c r="AB71" s="4">
        <v>0</v>
      </c>
      <c r="AC71" s="6">
        <v>3867819</v>
      </c>
      <c r="AD71" s="6">
        <v>3865778</v>
      </c>
      <c r="AE71" s="6">
        <v>3858169</v>
      </c>
      <c r="AF71" s="6">
        <v>5172684</v>
      </c>
      <c r="AG71" s="6">
        <v>5172679</v>
      </c>
      <c r="AH71" s="6">
        <v>5172660</v>
      </c>
      <c r="AI71" s="6">
        <v>5172187</v>
      </c>
      <c r="AJ71" s="6">
        <v>6789643</v>
      </c>
      <c r="AK71" s="6">
        <v>6789602</v>
      </c>
      <c r="AL71" s="6">
        <v>6789525</v>
      </c>
      <c r="AM71" s="6">
        <v>6784301</v>
      </c>
      <c r="AN71" s="6">
        <v>9155896</v>
      </c>
      <c r="AO71" s="6">
        <v>9155659</v>
      </c>
      <c r="AP71" s="6">
        <v>9151551</v>
      </c>
      <c r="AQ71" s="6">
        <v>9151450</v>
      </c>
      <c r="AR71" s="6">
        <v>11608569</v>
      </c>
      <c r="AS71" s="6">
        <v>11606679</v>
      </c>
      <c r="AT71" s="6">
        <v>43386686</v>
      </c>
      <c r="AU71" s="6">
        <v>43386280</v>
      </c>
      <c r="AV71" s="6">
        <v>45028627</v>
      </c>
      <c r="AW71" s="6">
        <v>45028418</v>
      </c>
      <c r="AX71" s="6">
        <v>20845440</v>
      </c>
      <c r="AY71" s="6">
        <v>20845050</v>
      </c>
      <c r="AZ71" s="6">
        <v>24784649</v>
      </c>
      <c r="BA71" s="6">
        <v>24786838</v>
      </c>
      <c r="BB71" s="6">
        <v>24786836</v>
      </c>
      <c r="BC71" s="6">
        <v>24786549</v>
      </c>
      <c r="BD71" s="6">
        <v>28644562</v>
      </c>
      <c r="BE71" s="6">
        <v>28651733</v>
      </c>
      <c r="BF71" s="6">
        <v>28659714</v>
      </c>
    </row>
    <row r="72" spans="1:62" x14ac:dyDescent="0.25">
      <c r="A72" s="14" t="s">
        <v>62</v>
      </c>
      <c r="B72" s="4"/>
      <c r="C72" s="4">
        <v>0</v>
      </c>
      <c r="D72" s="4">
        <v>0</v>
      </c>
      <c r="E72" s="6">
        <v>-3940</v>
      </c>
      <c r="F72" s="6">
        <v>29117</v>
      </c>
      <c r="G72" s="6">
        <v>2966</v>
      </c>
      <c r="H72" s="4">
        <v>0</v>
      </c>
      <c r="I72" s="6">
        <v>3866</v>
      </c>
      <c r="J72" s="4">
        <v>823</v>
      </c>
      <c r="K72" s="6">
        <v>1364</v>
      </c>
      <c r="L72" s="4">
        <v>0</v>
      </c>
      <c r="M72" s="6">
        <v>8260</v>
      </c>
      <c r="N72" s="6">
        <v>-9746</v>
      </c>
      <c r="O72" s="6">
        <v>-6916</v>
      </c>
      <c r="P72" s="4">
        <v>0</v>
      </c>
      <c r="Q72" s="6">
        <v>23274</v>
      </c>
      <c r="R72" s="6">
        <v>10305</v>
      </c>
      <c r="S72" s="6">
        <v>-4918</v>
      </c>
      <c r="T72" s="4">
        <v>0</v>
      </c>
      <c r="U72" s="6">
        <v>6754</v>
      </c>
      <c r="V72" s="6">
        <v>-19557</v>
      </c>
      <c r="W72" s="4">
        <v>-411</v>
      </c>
      <c r="X72" s="4">
        <v>0</v>
      </c>
      <c r="Y72" s="6">
        <v>4264</v>
      </c>
      <c r="Z72" s="4">
        <v>-350</v>
      </c>
      <c r="AA72" s="4">
        <v>-499</v>
      </c>
      <c r="AB72" s="4">
        <v>0</v>
      </c>
      <c r="AC72" s="4">
        <v>174</v>
      </c>
      <c r="AD72" s="4">
        <v>-70</v>
      </c>
      <c r="AE72" s="4">
        <v>-26</v>
      </c>
      <c r="AF72" s="4">
        <v>0</v>
      </c>
      <c r="AG72" s="6">
        <v>12359</v>
      </c>
      <c r="AH72" s="6">
        <v>-1105</v>
      </c>
      <c r="AI72" s="6">
        <v>-1749</v>
      </c>
      <c r="AJ72" s="4">
        <v>0</v>
      </c>
      <c r="AK72" s="6">
        <v>1803</v>
      </c>
      <c r="AL72" s="6">
        <v>3468</v>
      </c>
      <c r="AM72" s="4">
        <v>15</v>
      </c>
      <c r="AN72" s="4"/>
      <c r="AO72" s="6">
        <v>2965</v>
      </c>
      <c r="AP72" s="6">
        <v>13987</v>
      </c>
      <c r="AQ72" s="6">
        <v>7355</v>
      </c>
      <c r="AR72" s="4"/>
      <c r="AS72" s="6">
        <v>4648</v>
      </c>
      <c r="AT72" s="6">
        <v>1302</v>
      </c>
      <c r="AU72" s="6">
        <v>-2181</v>
      </c>
      <c r="AV72" s="4"/>
      <c r="AW72" s="6">
        <v>-20133</v>
      </c>
      <c r="AX72" s="6">
        <v>-13199</v>
      </c>
      <c r="AY72" s="6">
        <v>10494</v>
      </c>
      <c r="AZ72" s="4"/>
      <c r="BA72" s="4"/>
      <c r="BB72" s="4"/>
      <c r="BC72" s="4"/>
      <c r="BD72" s="4"/>
      <c r="BE72" s="4"/>
      <c r="BF72" s="4"/>
    </row>
    <row r="73" spans="1:62" x14ac:dyDescent="0.25">
      <c r="A73" s="14" t="s">
        <v>63</v>
      </c>
      <c r="B73" s="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/>
      <c r="AM73" s="4">
        <v>0</v>
      </c>
      <c r="AN73" s="4"/>
      <c r="AO73" s="4"/>
      <c r="AP73" s="4">
        <v>0</v>
      </c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</row>
    <row r="74" spans="1:62" x14ac:dyDescent="0.25">
      <c r="A74" s="14" t="s">
        <v>64</v>
      </c>
      <c r="B74" s="6">
        <v>1765495</v>
      </c>
      <c r="C74" s="6">
        <v>2668157</v>
      </c>
      <c r="D74" s="6">
        <v>966445</v>
      </c>
      <c r="E74" s="6">
        <v>1355051</v>
      </c>
      <c r="F74" s="6">
        <v>627050</v>
      </c>
      <c r="G74" s="6">
        <v>718020</v>
      </c>
      <c r="H74" s="6">
        <v>672394</v>
      </c>
      <c r="I74" s="6">
        <v>1194413</v>
      </c>
      <c r="J74" s="6">
        <v>1409646</v>
      </c>
      <c r="K74" s="6">
        <v>1571541</v>
      </c>
      <c r="L74" s="6">
        <v>1570070</v>
      </c>
      <c r="M74" s="6">
        <v>1858395</v>
      </c>
      <c r="N74" s="6">
        <v>2337139</v>
      </c>
      <c r="O74" s="6">
        <v>2740284</v>
      </c>
      <c r="P74" s="6">
        <v>2897014</v>
      </c>
      <c r="Q74" s="6">
        <v>3310303</v>
      </c>
      <c r="R74" s="6">
        <v>4102435</v>
      </c>
      <c r="S74" s="6">
        <v>5124748</v>
      </c>
      <c r="T74" s="6">
        <v>5531122</v>
      </c>
      <c r="U74" s="6">
        <v>6548491</v>
      </c>
      <c r="V74" s="6">
        <v>7673437</v>
      </c>
      <c r="W74" s="6">
        <v>9379611</v>
      </c>
      <c r="X74" s="6">
        <v>10996701</v>
      </c>
      <c r="Y74" s="6">
        <v>13055152</v>
      </c>
      <c r="Z74" s="6">
        <v>15155900</v>
      </c>
      <c r="AA74" s="6">
        <v>11387717</v>
      </c>
      <c r="AB74" s="6">
        <v>12403003</v>
      </c>
      <c r="AC74" s="6">
        <v>14485828</v>
      </c>
      <c r="AD74" s="6">
        <v>16884667</v>
      </c>
      <c r="AE74" s="6">
        <v>19438896</v>
      </c>
      <c r="AF74" s="6">
        <v>21129945</v>
      </c>
      <c r="AG74" s="6">
        <v>23587283</v>
      </c>
      <c r="AH74" s="6">
        <v>26404162</v>
      </c>
      <c r="AI74" s="6">
        <v>29503180</v>
      </c>
      <c r="AJ74" s="6">
        <v>31815705</v>
      </c>
      <c r="AK74" s="6">
        <v>36212537</v>
      </c>
      <c r="AL74" s="6">
        <v>40923663</v>
      </c>
      <c r="AM74" s="6">
        <v>45261263</v>
      </c>
      <c r="AN74" s="6">
        <v>47469491</v>
      </c>
      <c r="AO74" s="6">
        <v>52957670</v>
      </c>
      <c r="AP74" s="6">
        <v>58761195</v>
      </c>
      <c r="AQ74" s="6">
        <v>64059161</v>
      </c>
      <c r="AR74" s="6">
        <v>64482685</v>
      </c>
      <c r="AS74" s="6">
        <v>68979321</v>
      </c>
      <c r="AT74" s="6">
        <v>41653820</v>
      </c>
      <c r="AU74" s="6">
        <v>46266763</v>
      </c>
      <c r="AV74" s="6">
        <v>49025144</v>
      </c>
      <c r="AW74" s="6">
        <v>55234141</v>
      </c>
      <c r="AX74" s="6">
        <v>45331275</v>
      </c>
      <c r="AY74" s="6">
        <v>51068780</v>
      </c>
      <c r="AZ74" s="6">
        <v>42221962</v>
      </c>
      <c r="BA74" s="6">
        <v>48167266</v>
      </c>
      <c r="BB74" s="6">
        <v>54414630</v>
      </c>
      <c r="BC74" s="6">
        <v>60833974</v>
      </c>
      <c r="BD74" s="6">
        <v>62773576</v>
      </c>
      <c r="BE74" s="6">
        <v>69435141</v>
      </c>
      <c r="BF74" s="6">
        <v>68178258</v>
      </c>
    </row>
    <row r="75" spans="1:62" x14ac:dyDescent="0.25">
      <c r="A75" s="14" t="s">
        <v>65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</row>
    <row r="76" spans="1:62" x14ac:dyDescent="0.25">
      <c r="A76" s="5" t="s">
        <v>66</v>
      </c>
      <c r="B76" s="4"/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6">
        <v>69317</v>
      </c>
      <c r="AC76" s="6">
        <v>78601</v>
      </c>
      <c r="AD76" s="6">
        <v>172782</v>
      </c>
      <c r="AE76" s="6">
        <v>201145</v>
      </c>
      <c r="AF76" s="6">
        <v>292171</v>
      </c>
      <c r="AG76" s="6">
        <v>340487</v>
      </c>
      <c r="AH76" s="6">
        <v>375524</v>
      </c>
      <c r="AI76" s="6">
        <v>456773</v>
      </c>
      <c r="AJ76" s="6">
        <v>483869</v>
      </c>
      <c r="AK76" s="6">
        <v>563254</v>
      </c>
      <c r="AL76" s="6">
        <v>658785</v>
      </c>
      <c r="AM76" s="6">
        <v>753240</v>
      </c>
      <c r="AN76" s="6">
        <v>844828</v>
      </c>
      <c r="AO76" s="6">
        <v>884074</v>
      </c>
      <c r="AP76" s="6">
        <v>962804</v>
      </c>
      <c r="AQ76" s="6">
        <v>1032378</v>
      </c>
      <c r="AR76" s="6">
        <v>1128915</v>
      </c>
      <c r="AS76" s="6">
        <v>1169971</v>
      </c>
      <c r="AT76" s="6">
        <v>1218365</v>
      </c>
      <c r="AU76" s="6">
        <v>1274127</v>
      </c>
      <c r="AV76" s="6">
        <v>1316833</v>
      </c>
      <c r="AW76" s="6">
        <v>1372839</v>
      </c>
      <c r="AX76" s="6">
        <v>1381928</v>
      </c>
      <c r="AY76" s="6">
        <v>1437445</v>
      </c>
      <c r="AZ76" s="6">
        <v>2520466</v>
      </c>
      <c r="BA76" s="6">
        <v>2586017</v>
      </c>
      <c r="BB76" s="6">
        <v>4213219</v>
      </c>
      <c r="BC76" s="6">
        <v>15397526</v>
      </c>
      <c r="BD76" s="6">
        <v>9456938</v>
      </c>
      <c r="BE76" s="6">
        <v>9787107</v>
      </c>
      <c r="BF76" s="6">
        <v>9834883</v>
      </c>
    </row>
    <row r="77" spans="1:62" x14ac:dyDescent="0.25">
      <c r="A77" s="11" t="s">
        <v>67</v>
      </c>
      <c r="B77" s="6">
        <v>150291215</v>
      </c>
      <c r="C77" s="6">
        <v>180531163</v>
      </c>
      <c r="D77" s="6">
        <v>179732817</v>
      </c>
      <c r="E77" s="6">
        <v>175862903</v>
      </c>
      <c r="F77" s="6">
        <v>171394441</v>
      </c>
      <c r="G77" s="6">
        <v>165878786</v>
      </c>
      <c r="H77" s="6">
        <v>158896663</v>
      </c>
      <c r="I77" s="6">
        <v>164134583</v>
      </c>
      <c r="J77" s="6">
        <v>171081078</v>
      </c>
      <c r="K77" s="6">
        <v>170768267</v>
      </c>
      <c r="L77" s="6">
        <v>175915454</v>
      </c>
      <c r="M77" s="6">
        <v>179100004</v>
      </c>
      <c r="N77" s="6">
        <v>172744073</v>
      </c>
      <c r="O77" s="6">
        <v>175216913</v>
      </c>
      <c r="P77" s="6">
        <v>192009075</v>
      </c>
      <c r="Q77" s="6">
        <v>199003292</v>
      </c>
      <c r="R77" s="6">
        <v>212676296</v>
      </c>
      <c r="S77" s="6">
        <v>222769955</v>
      </c>
      <c r="T77" s="6">
        <v>235363026</v>
      </c>
      <c r="U77" s="6">
        <v>232522122</v>
      </c>
      <c r="V77" s="6">
        <v>232342274</v>
      </c>
      <c r="W77" s="6">
        <v>233501777</v>
      </c>
      <c r="X77" s="6">
        <v>269392380</v>
      </c>
      <c r="Y77" s="6">
        <v>273152696</v>
      </c>
      <c r="Z77" s="6">
        <v>300404808</v>
      </c>
      <c r="AA77" s="6">
        <v>311795636</v>
      </c>
      <c r="AB77" s="6">
        <v>321049453</v>
      </c>
      <c r="AC77" s="6">
        <v>326111765</v>
      </c>
      <c r="AD77" s="6">
        <v>360661683</v>
      </c>
      <c r="AE77" s="6">
        <v>367538462</v>
      </c>
      <c r="AF77" s="6">
        <v>383699461</v>
      </c>
      <c r="AG77" s="6">
        <v>391807859</v>
      </c>
      <c r="AH77" s="6">
        <v>395861051</v>
      </c>
      <c r="AI77" s="6">
        <v>401461729</v>
      </c>
      <c r="AJ77" s="6">
        <v>439602933</v>
      </c>
      <c r="AK77" s="6">
        <v>462822690</v>
      </c>
      <c r="AL77" s="6">
        <v>504303766</v>
      </c>
      <c r="AM77" s="6">
        <v>541635295</v>
      </c>
      <c r="AN77" s="6">
        <v>568811435</v>
      </c>
      <c r="AO77" s="6">
        <v>615270328</v>
      </c>
      <c r="AP77" s="6">
        <v>623738504</v>
      </c>
      <c r="AQ77" s="6">
        <v>671353524</v>
      </c>
      <c r="AR77" s="6">
        <v>699032544</v>
      </c>
      <c r="AS77" s="6">
        <v>723517800</v>
      </c>
      <c r="AT77" s="6">
        <v>732470169</v>
      </c>
      <c r="AU77" s="6">
        <v>781278666</v>
      </c>
      <c r="AV77" s="6">
        <v>849482012</v>
      </c>
      <c r="AW77" s="6">
        <v>885653461</v>
      </c>
      <c r="AX77" s="6">
        <v>908306700</v>
      </c>
      <c r="AY77" s="6">
        <v>927053345</v>
      </c>
      <c r="AZ77" s="6">
        <v>978798549</v>
      </c>
      <c r="BA77" s="6">
        <v>989215993</v>
      </c>
      <c r="BB77" s="6">
        <v>1037645395</v>
      </c>
      <c r="BC77" s="6">
        <v>1129570458</v>
      </c>
      <c r="BD77" s="6">
        <v>1192344137</v>
      </c>
      <c r="BE77" s="6">
        <v>1190453754</v>
      </c>
      <c r="BF77" s="6">
        <v>1273076923</v>
      </c>
    </row>
    <row r="79" spans="1:62" x14ac:dyDescent="0.25">
      <c r="B79" s="12">
        <f>SUM(B3:B6,B10,B13:B14,B17,B21,B27,B38,B41)-B48</f>
        <v>0</v>
      </c>
      <c r="C79" s="12">
        <f t="shared" ref="C79:BF79" si="0">SUM(C3:C6,C10,C13:C14,C17,C21,C27,C38,C41)-C48</f>
        <v>0</v>
      </c>
      <c r="D79" s="12">
        <f t="shared" si="0"/>
        <v>0</v>
      </c>
      <c r="E79" s="12">
        <f>SUM(E3:E6,E10,E13:E14,E17,E21,E27,E38,E41)-E48</f>
        <v>0</v>
      </c>
      <c r="F79" s="12">
        <f t="shared" si="0"/>
        <v>0</v>
      </c>
      <c r="G79" s="12">
        <f t="shared" si="0"/>
        <v>0</v>
      </c>
      <c r="H79" s="12">
        <f t="shared" si="0"/>
        <v>0</v>
      </c>
      <c r="I79" s="12">
        <f t="shared" si="0"/>
        <v>0</v>
      </c>
      <c r="J79" s="12">
        <f t="shared" si="0"/>
        <v>0</v>
      </c>
      <c r="K79" s="12">
        <f t="shared" si="0"/>
        <v>0</v>
      </c>
      <c r="L79" s="12">
        <f t="shared" si="0"/>
        <v>0</v>
      </c>
      <c r="M79" s="12">
        <f t="shared" si="0"/>
        <v>0</v>
      </c>
      <c r="N79" s="12">
        <f t="shared" si="0"/>
        <v>0</v>
      </c>
      <c r="O79" s="12">
        <f t="shared" si="0"/>
        <v>0</v>
      </c>
      <c r="P79" s="12">
        <f t="shared" si="0"/>
        <v>0</v>
      </c>
      <c r="Q79" s="12">
        <f t="shared" si="0"/>
        <v>0</v>
      </c>
      <c r="R79" s="12">
        <f t="shared" si="0"/>
        <v>0</v>
      </c>
      <c r="S79" s="12">
        <f t="shared" si="0"/>
        <v>0</v>
      </c>
      <c r="T79" s="12">
        <f t="shared" si="0"/>
        <v>0</v>
      </c>
      <c r="U79" s="12">
        <f t="shared" si="0"/>
        <v>0</v>
      </c>
      <c r="V79" s="12">
        <f t="shared" si="0"/>
        <v>0</v>
      </c>
      <c r="W79" s="12">
        <f t="shared" si="0"/>
        <v>0</v>
      </c>
      <c r="X79" s="12">
        <f t="shared" si="0"/>
        <v>0</v>
      </c>
      <c r="Y79" s="12">
        <f t="shared" si="0"/>
        <v>0</v>
      </c>
      <c r="Z79" s="12">
        <f t="shared" si="0"/>
        <v>0</v>
      </c>
      <c r="AA79" s="12">
        <f t="shared" si="0"/>
        <v>0</v>
      </c>
      <c r="AB79" s="12">
        <f t="shared" si="0"/>
        <v>0</v>
      </c>
      <c r="AC79" s="12">
        <f t="shared" si="0"/>
        <v>0</v>
      </c>
      <c r="AD79" s="12">
        <f t="shared" si="0"/>
        <v>0</v>
      </c>
      <c r="AE79" s="12">
        <f t="shared" si="0"/>
        <v>0</v>
      </c>
      <c r="AF79" s="12">
        <f t="shared" si="0"/>
        <v>0</v>
      </c>
      <c r="AG79" s="12">
        <f t="shared" si="0"/>
        <v>0</v>
      </c>
      <c r="AH79" s="12">
        <f t="shared" si="0"/>
        <v>0</v>
      </c>
      <c r="AI79" s="12">
        <f t="shared" si="0"/>
        <v>0</v>
      </c>
      <c r="AJ79" s="12">
        <f t="shared" si="0"/>
        <v>0</v>
      </c>
      <c r="AK79" s="12">
        <f t="shared" si="0"/>
        <v>0</v>
      </c>
      <c r="AL79" s="12">
        <f t="shared" si="0"/>
        <v>0</v>
      </c>
      <c r="AM79" s="12">
        <f t="shared" si="0"/>
        <v>0</v>
      </c>
      <c r="AN79" s="12">
        <f t="shared" si="0"/>
        <v>0</v>
      </c>
      <c r="AO79" s="12">
        <f t="shared" si="0"/>
        <v>0</v>
      </c>
      <c r="AP79" s="12">
        <f t="shared" si="0"/>
        <v>0</v>
      </c>
      <c r="AQ79" s="12">
        <f t="shared" si="0"/>
        <v>0</v>
      </c>
      <c r="AR79" s="12">
        <f t="shared" si="0"/>
        <v>0</v>
      </c>
      <c r="AS79" s="12">
        <f t="shared" si="0"/>
        <v>0</v>
      </c>
      <c r="AT79" s="12">
        <f t="shared" si="0"/>
        <v>0</v>
      </c>
      <c r="AU79" s="12">
        <f t="shared" si="0"/>
        <v>0</v>
      </c>
      <c r="AV79" s="12">
        <f t="shared" si="0"/>
        <v>0</v>
      </c>
      <c r="AW79" s="12">
        <f t="shared" si="0"/>
        <v>0</v>
      </c>
      <c r="AX79" s="12">
        <f t="shared" si="0"/>
        <v>0</v>
      </c>
      <c r="AY79" s="12">
        <f t="shared" si="0"/>
        <v>0</v>
      </c>
      <c r="AZ79" s="12">
        <f t="shared" si="0"/>
        <v>0</v>
      </c>
      <c r="BA79" s="12">
        <f t="shared" si="0"/>
        <v>0</v>
      </c>
      <c r="BB79" s="12">
        <f t="shared" si="0"/>
        <v>0</v>
      </c>
      <c r="BC79" s="12">
        <f t="shared" si="0"/>
        <v>0</v>
      </c>
      <c r="BD79" s="12">
        <f t="shared" si="0"/>
        <v>0</v>
      </c>
      <c r="BE79" s="12">
        <f t="shared" si="0"/>
        <v>0</v>
      </c>
      <c r="BF79" s="12">
        <f t="shared" si="0"/>
        <v>0</v>
      </c>
      <c r="BG79" s="12"/>
      <c r="BH79" s="12"/>
      <c r="BI79" s="12"/>
      <c r="BJ79" s="12"/>
    </row>
    <row r="80" spans="1:62" x14ac:dyDescent="0.25">
      <c r="B80" s="12">
        <f>SUM(B50:B51,B54:B58,B63,B76)-B77</f>
        <v>0</v>
      </c>
      <c r="C80" s="12">
        <f t="shared" ref="C80:BF80" si="1">SUM(C50:C51,C54:C58,C63,C76)-C77</f>
        <v>0</v>
      </c>
      <c r="D80" s="12">
        <f t="shared" si="1"/>
        <v>0</v>
      </c>
      <c r="E80" s="12">
        <f>SUM(E50:E51,E54:E58,E63,E76)-E77</f>
        <v>0</v>
      </c>
      <c r="F80" s="12">
        <f t="shared" si="1"/>
        <v>0</v>
      </c>
      <c r="G80" s="12">
        <f t="shared" si="1"/>
        <v>0</v>
      </c>
      <c r="H80" s="12">
        <f t="shared" si="1"/>
        <v>0</v>
      </c>
      <c r="I80" s="12">
        <f t="shared" si="1"/>
        <v>0</v>
      </c>
      <c r="J80" s="12">
        <f t="shared" si="1"/>
        <v>0</v>
      </c>
      <c r="K80" s="12">
        <f t="shared" si="1"/>
        <v>0</v>
      </c>
      <c r="L80" s="12">
        <f t="shared" si="1"/>
        <v>0</v>
      </c>
      <c r="M80" s="12">
        <f t="shared" si="1"/>
        <v>0</v>
      </c>
      <c r="N80" s="12">
        <f t="shared" si="1"/>
        <v>0</v>
      </c>
      <c r="O80" s="12">
        <f t="shared" si="1"/>
        <v>0</v>
      </c>
      <c r="P80" s="12">
        <f t="shared" si="1"/>
        <v>0</v>
      </c>
      <c r="Q80" s="12">
        <f t="shared" si="1"/>
        <v>0</v>
      </c>
      <c r="R80" s="12">
        <f t="shared" si="1"/>
        <v>0</v>
      </c>
      <c r="S80" s="12">
        <f t="shared" si="1"/>
        <v>0</v>
      </c>
      <c r="T80" s="12">
        <f t="shared" si="1"/>
        <v>0</v>
      </c>
      <c r="U80" s="12">
        <f t="shared" si="1"/>
        <v>0</v>
      </c>
      <c r="V80" s="12">
        <f t="shared" si="1"/>
        <v>0</v>
      </c>
      <c r="W80" s="12">
        <f t="shared" si="1"/>
        <v>0</v>
      </c>
      <c r="X80" s="12">
        <f t="shared" si="1"/>
        <v>0</v>
      </c>
      <c r="Y80" s="12">
        <f t="shared" si="1"/>
        <v>0</v>
      </c>
      <c r="Z80" s="12">
        <f t="shared" si="1"/>
        <v>0</v>
      </c>
      <c r="AA80" s="12">
        <f t="shared" si="1"/>
        <v>0</v>
      </c>
      <c r="AB80" s="12">
        <f t="shared" si="1"/>
        <v>0</v>
      </c>
      <c r="AC80" s="12">
        <f t="shared" si="1"/>
        <v>0</v>
      </c>
      <c r="AD80" s="12">
        <f t="shared" si="1"/>
        <v>0</v>
      </c>
      <c r="AE80" s="12">
        <f t="shared" si="1"/>
        <v>0</v>
      </c>
      <c r="AF80" s="12">
        <f t="shared" si="1"/>
        <v>0</v>
      </c>
      <c r="AG80" s="12">
        <f t="shared" si="1"/>
        <v>0</v>
      </c>
      <c r="AH80" s="12">
        <f t="shared" si="1"/>
        <v>0</v>
      </c>
      <c r="AI80" s="12">
        <f t="shared" si="1"/>
        <v>0</v>
      </c>
      <c r="AJ80" s="12">
        <f t="shared" si="1"/>
        <v>0</v>
      </c>
      <c r="AK80" s="12">
        <f t="shared" si="1"/>
        <v>0</v>
      </c>
      <c r="AL80" s="12">
        <f t="shared" si="1"/>
        <v>0</v>
      </c>
      <c r="AM80" s="12">
        <f t="shared" si="1"/>
        <v>0</v>
      </c>
      <c r="AN80" s="12">
        <f t="shared" si="1"/>
        <v>0</v>
      </c>
      <c r="AO80" s="12">
        <f t="shared" si="1"/>
        <v>0</v>
      </c>
      <c r="AP80" s="12">
        <f t="shared" si="1"/>
        <v>0</v>
      </c>
      <c r="AQ80" s="12">
        <f t="shared" si="1"/>
        <v>0</v>
      </c>
      <c r="AR80" s="12">
        <f t="shared" si="1"/>
        <v>0</v>
      </c>
      <c r="AS80" s="12">
        <f t="shared" si="1"/>
        <v>0</v>
      </c>
      <c r="AT80" s="12">
        <f t="shared" si="1"/>
        <v>0</v>
      </c>
      <c r="AU80" s="12">
        <f t="shared" si="1"/>
        <v>0</v>
      </c>
      <c r="AV80" s="12">
        <f t="shared" si="1"/>
        <v>0</v>
      </c>
      <c r="AW80" s="12">
        <f t="shared" si="1"/>
        <v>0</v>
      </c>
      <c r="AX80" s="12">
        <f t="shared" si="1"/>
        <v>0</v>
      </c>
      <c r="AY80" s="12">
        <f t="shared" si="1"/>
        <v>0</v>
      </c>
      <c r="AZ80" s="12">
        <f t="shared" si="1"/>
        <v>0</v>
      </c>
      <c r="BA80" s="12">
        <f t="shared" si="1"/>
        <v>0</v>
      </c>
      <c r="BB80" s="12">
        <f t="shared" si="1"/>
        <v>0</v>
      </c>
      <c r="BC80" s="12">
        <f t="shared" si="1"/>
        <v>0</v>
      </c>
      <c r="BD80" s="12">
        <f t="shared" si="1"/>
        <v>0</v>
      </c>
      <c r="BE80" s="12">
        <f t="shared" si="1"/>
        <v>0</v>
      </c>
      <c r="BF80" s="12">
        <f t="shared" si="1"/>
        <v>0</v>
      </c>
      <c r="BG80" s="12"/>
      <c r="BH80" s="12"/>
      <c r="BI80" s="12"/>
      <c r="BJ80" s="12"/>
    </row>
    <row r="81" spans="2:62" x14ac:dyDescent="0.25">
      <c r="B81" s="12">
        <f>B48-B77</f>
        <v>0</v>
      </c>
      <c r="C81" s="12">
        <f t="shared" ref="C81:BF81" si="2">C48-C77</f>
        <v>0</v>
      </c>
      <c r="D81" s="12">
        <f t="shared" si="2"/>
        <v>0</v>
      </c>
      <c r="E81" s="12">
        <f t="shared" si="2"/>
        <v>0</v>
      </c>
      <c r="F81" s="12">
        <f t="shared" si="2"/>
        <v>0</v>
      </c>
      <c r="G81" s="12">
        <f t="shared" si="2"/>
        <v>0</v>
      </c>
      <c r="H81" s="12">
        <f t="shared" si="2"/>
        <v>0</v>
      </c>
      <c r="I81" s="12">
        <f t="shared" si="2"/>
        <v>0</v>
      </c>
      <c r="J81" s="12">
        <f t="shared" si="2"/>
        <v>0</v>
      </c>
      <c r="K81" s="12">
        <f t="shared" si="2"/>
        <v>0</v>
      </c>
      <c r="L81" s="12">
        <f t="shared" si="2"/>
        <v>0</v>
      </c>
      <c r="M81" s="12">
        <f t="shared" si="2"/>
        <v>0</v>
      </c>
      <c r="N81" s="12">
        <f t="shared" si="2"/>
        <v>0</v>
      </c>
      <c r="O81" s="12">
        <f t="shared" si="2"/>
        <v>0</v>
      </c>
      <c r="P81" s="12">
        <f t="shared" si="2"/>
        <v>0</v>
      </c>
      <c r="Q81" s="12">
        <f t="shared" si="2"/>
        <v>0</v>
      </c>
      <c r="R81" s="12">
        <f t="shared" si="2"/>
        <v>0</v>
      </c>
      <c r="S81" s="12">
        <f t="shared" si="2"/>
        <v>0</v>
      </c>
      <c r="T81" s="12">
        <f t="shared" si="2"/>
        <v>0</v>
      </c>
      <c r="U81" s="12">
        <f t="shared" si="2"/>
        <v>0</v>
      </c>
      <c r="V81" s="12">
        <f t="shared" si="2"/>
        <v>0</v>
      </c>
      <c r="W81" s="12">
        <f t="shared" si="2"/>
        <v>0</v>
      </c>
      <c r="X81" s="12">
        <f t="shared" si="2"/>
        <v>0</v>
      </c>
      <c r="Y81" s="12">
        <f t="shared" si="2"/>
        <v>0</v>
      </c>
      <c r="Z81" s="12">
        <f t="shared" si="2"/>
        <v>0</v>
      </c>
      <c r="AA81" s="12">
        <f t="shared" si="2"/>
        <v>0</v>
      </c>
      <c r="AB81" s="12">
        <f t="shared" si="2"/>
        <v>0</v>
      </c>
      <c r="AC81" s="12">
        <f t="shared" si="2"/>
        <v>0</v>
      </c>
      <c r="AD81" s="12">
        <f t="shared" si="2"/>
        <v>0</v>
      </c>
      <c r="AE81" s="12">
        <f t="shared" si="2"/>
        <v>0</v>
      </c>
      <c r="AF81" s="12">
        <f t="shared" si="2"/>
        <v>0</v>
      </c>
      <c r="AG81" s="12">
        <f t="shared" si="2"/>
        <v>0</v>
      </c>
      <c r="AH81" s="12">
        <f t="shared" si="2"/>
        <v>0</v>
      </c>
      <c r="AI81" s="12">
        <f t="shared" si="2"/>
        <v>0</v>
      </c>
      <c r="AJ81" s="12">
        <f t="shared" si="2"/>
        <v>0</v>
      </c>
      <c r="AK81" s="12">
        <f t="shared" si="2"/>
        <v>0</v>
      </c>
      <c r="AL81" s="12">
        <f t="shared" si="2"/>
        <v>0</v>
      </c>
      <c r="AM81" s="12">
        <f t="shared" si="2"/>
        <v>0</v>
      </c>
      <c r="AN81" s="12">
        <f t="shared" si="2"/>
        <v>0</v>
      </c>
      <c r="AO81" s="12">
        <f t="shared" si="2"/>
        <v>0</v>
      </c>
      <c r="AP81" s="12">
        <f t="shared" si="2"/>
        <v>0</v>
      </c>
      <c r="AQ81" s="12">
        <f t="shared" si="2"/>
        <v>0</v>
      </c>
      <c r="AR81" s="12">
        <f t="shared" si="2"/>
        <v>0</v>
      </c>
      <c r="AS81" s="12">
        <f t="shared" si="2"/>
        <v>0</v>
      </c>
      <c r="AT81" s="12">
        <f t="shared" si="2"/>
        <v>0</v>
      </c>
      <c r="AU81" s="12">
        <f t="shared" si="2"/>
        <v>0</v>
      </c>
      <c r="AV81" s="12">
        <f t="shared" si="2"/>
        <v>0</v>
      </c>
      <c r="AW81" s="12">
        <f t="shared" si="2"/>
        <v>0</v>
      </c>
      <c r="AX81" s="12">
        <f t="shared" si="2"/>
        <v>0</v>
      </c>
      <c r="AY81" s="12">
        <f t="shared" si="2"/>
        <v>0</v>
      </c>
      <c r="AZ81" s="12">
        <f t="shared" si="2"/>
        <v>0</v>
      </c>
      <c r="BA81" s="12">
        <f t="shared" si="2"/>
        <v>0</v>
      </c>
      <c r="BB81" s="12">
        <f t="shared" si="2"/>
        <v>0</v>
      </c>
      <c r="BC81" s="12">
        <f t="shared" si="2"/>
        <v>0</v>
      </c>
      <c r="BD81" s="12">
        <f t="shared" si="2"/>
        <v>0</v>
      </c>
      <c r="BE81" s="12">
        <f t="shared" si="2"/>
        <v>0</v>
      </c>
      <c r="BF81" s="12">
        <f t="shared" si="2"/>
        <v>0</v>
      </c>
      <c r="BG81" s="12"/>
      <c r="BH81" s="12"/>
      <c r="BI81" s="12"/>
      <c r="BJ81" s="12"/>
    </row>
    <row r="82" spans="2:62" x14ac:dyDescent="0.25">
      <c r="B82" s="17">
        <f>SUM(B7:B9)-B6</f>
        <v>0</v>
      </c>
      <c r="C82" s="17">
        <f t="shared" ref="C82:BF82" si="3">SUM(C7:C9)-C6</f>
        <v>0</v>
      </c>
      <c r="D82" s="17">
        <f t="shared" si="3"/>
        <v>0</v>
      </c>
      <c r="E82" s="17">
        <f t="shared" si="3"/>
        <v>0</v>
      </c>
      <c r="F82" s="17">
        <f t="shared" si="3"/>
        <v>0</v>
      </c>
      <c r="G82" s="17">
        <f t="shared" si="3"/>
        <v>0</v>
      </c>
      <c r="H82" s="17">
        <f t="shared" si="3"/>
        <v>0</v>
      </c>
      <c r="I82" s="17">
        <f t="shared" si="3"/>
        <v>0</v>
      </c>
      <c r="J82" s="17">
        <f t="shared" si="3"/>
        <v>0</v>
      </c>
      <c r="K82" s="17">
        <f t="shared" si="3"/>
        <v>0</v>
      </c>
      <c r="L82" s="17">
        <f t="shared" si="3"/>
        <v>0</v>
      </c>
      <c r="M82" s="17">
        <f t="shared" si="3"/>
        <v>0</v>
      </c>
      <c r="N82" s="17">
        <f t="shared" si="3"/>
        <v>0</v>
      </c>
      <c r="O82" s="17">
        <f t="shared" si="3"/>
        <v>0</v>
      </c>
      <c r="P82" s="17">
        <f t="shared" si="3"/>
        <v>0</v>
      </c>
      <c r="Q82" s="17">
        <f t="shared" si="3"/>
        <v>0</v>
      </c>
      <c r="R82" s="17">
        <f t="shared" si="3"/>
        <v>0</v>
      </c>
      <c r="S82" s="17">
        <f t="shared" si="3"/>
        <v>0</v>
      </c>
      <c r="T82" s="17">
        <f t="shared" si="3"/>
        <v>0</v>
      </c>
      <c r="U82" s="17">
        <f t="shared" si="3"/>
        <v>0</v>
      </c>
      <c r="V82" s="17">
        <f t="shared" si="3"/>
        <v>0</v>
      </c>
      <c r="W82" s="17">
        <f t="shared" si="3"/>
        <v>0</v>
      </c>
      <c r="X82" s="17">
        <f t="shared" si="3"/>
        <v>0</v>
      </c>
      <c r="Y82" s="17">
        <f t="shared" si="3"/>
        <v>0</v>
      </c>
      <c r="Z82" s="17">
        <f t="shared" si="3"/>
        <v>0</v>
      </c>
      <c r="AA82" s="17">
        <f t="shared" si="3"/>
        <v>0</v>
      </c>
      <c r="AB82" s="17">
        <f t="shared" si="3"/>
        <v>0</v>
      </c>
      <c r="AC82" s="17">
        <f t="shared" si="3"/>
        <v>0</v>
      </c>
      <c r="AD82" s="17">
        <f t="shared" si="3"/>
        <v>0</v>
      </c>
      <c r="AE82" s="17">
        <f t="shared" si="3"/>
        <v>0</v>
      </c>
      <c r="AF82" s="17">
        <f t="shared" si="3"/>
        <v>0</v>
      </c>
      <c r="AG82" s="17">
        <f t="shared" si="3"/>
        <v>0</v>
      </c>
      <c r="AH82" s="17">
        <f t="shared" si="3"/>
        <v>0</v>
      </c>
      <c r="AI82" s="17">
        <f t="shared" si="3"/>
        <v>0</v>
      </c>
      <c r="AJ82" s="17">
        <f t="shared" si="3"/>
        <v>0</v>
      </c>
      <c r="AK82" s="17">
        <f t="shared" si="3"/>
        <v>0</v>
      </c>
      <c r="AL82" s="17">
        <f t="shared" si="3"/>
        <v>0</v>
      </c>
      <c r="AM82" s="17">
        <f t="shared" si="3"/>
        <v>0</v>
      </c>
      <c r="AN82" s="17">
        <f t="shared" si="3"/>
        <v>0</v>
      </c>
      <c r="AO82" s="17">
        <f t="shared" si="3"/>
        <v>0</v>
      </c>
      <c r="AP82" s="17">
        <f t="shared" si="3"/>
        <v>0</v>
      </c>
      <c r="AQ82" s="17">
        <f t="shared" si="3"/>
        <v>0</v>
      </c>
      <c r="AR82" s="17">
        <f t="shared" si="3"/>
        <v>0</v>
      </c>
      <c r="AS82" s="17">
        <f t="shared" si="3"/>
        <v>0</v>
      </c>
      <c r="AT82" s="17">
        <f t="shared" si="3"/>
        <v>0</v>
      </c>
      <c r="AU82" s="17">
        <f t="shared" si="3"/>
        <v>0</v>
      </c>
      <c r="AV82" s="17">
        <f t="shared" si="3"/>
        <v>0</v>
      </c>
      <c r="AW82" s="17">
        <f t="shared" si="3"/>
        <v>0</v>
      </c>
      <c r="AX82" s="17">
        <f t="shared" si="3"/>
        <v>0</v>
      </c>
      <c r="AY82" s="17">
        <f t="shared" si="3"/>
        <v>0</v>
      </c>
      <c r="AZ82" s="17">
        <f t="shared" si="3"/>
        <v>0</v>
      </c>
      <c r="BA82" s="17">
        <f t="shared" si="3"/>
        <v>0</v>
      </c>
      <c r="BB82" s="17">
        <f t="shared" si="3"/>
        <v>0</v>
      </c>
      <c r="BC82" s="17">
        <f t="shared" si="3"/>
        <v>0</v>
      </c>
      <c r="BD82" s="17">
        <f t="shared" si="3"/>
        <v>0</v>
      </c>
      <c r="BE82" s="17">
        <f t="shared" si="3"/>
        <v>0</v>
      </c>
      <c r="BF82" s="17">
        <f t="shared" si="3"/>
        <v>0</v>
      </c>
    </row>
    <row r="83" spans="2:62" x14ac:dyDescent="0.25">
      <c r="B83" s="17">
        <f>SUM(B11:B12)-B10</f>
        <v>0</v>
      </c>
      <c r="C83" s="17">
        <f t="shared" ref="C83:BF83" si="4">SUM(C11:C12)-C10</f>
        <v>0</v>
      </c>
      <c r="D83" s="17">
        <f t="shared" si="4"/>
        <v>0</v>
      </c>
      <c r="E83" s="17">
        <f t="shared" si="4"/>
        <v>0</v>
      </c>
      <c r="F83" s="17">
        <f t="shared" si="4"/>
        <v>0</v>
      </c>
      <c r="G83" s="17">
        <f t="shared" si="4"/>
        <v>0</v>
      </c>
      <c r="H83" s="17">
        <f t="shared" si="4"/>
        <v>0</v>
      </c>
      <c r="I83" s="17">
        <f t="shared" si="4"/>
        <v>0</v>
      </c>
      <c r="J83" s="17">
        <f t="shared" si="4"/>
        <v>0</v>
      </c>
      <c r="K83" s="17">
        <f t="shared" si="4"/>
        <v>0</v>
      </c>
      <c r="L83" s="17">
        <f t="shared" si="4"/>
        <v>0</v>
      </c>
      <c r="M83" s="17">
        <f t="shared" si="4"/>
        <v>0</v>
      </c>
      <c r="N83" s="17">
        <f t="shared" si="4"/>
        <v>0</v>
      </c>
      <c r="O83" s="17">
        <f t="shared" si="4"/>
        <v>0</v>
      </c>
      <c r="P83" s="17">
        <f t="shared" si="4"/>
        <v>0</v>
      </c>
      <c r="Q83" s="17">
        <f t="shared" si="4"/>
        <v>0</v>
      </c>
      <c r="R83" s="17">
        <f t="shared" si="4"/>
        <v>0</v>
      </c>
      <c r="S83" s="17">
        <f t="shared" si="4"/>
        <v>0</v>
      </c>
      <c r="T83" s="17">
        <f t="shared" si="4"/>
        <v>0</v>
      </c>
      <c r="U83" s="17">
        <f t="shared" si="4"/>
        <v>0</v>
      </c>
      <c r="V83" s="17">
        <f t="shared" si="4"/>
        <v>0</v>
      </c>
      <c r="W83" s="17">
        <f t="shared" si="4"/>
        <v>0</v>
      </c>
      <c r="X83" s="17">
        <f t="shared" si="4"/>
        <v>0</v>
      </c>
      <c r="Y83" s="17">
        <f t="shared" si="4"/>
        <v>0</v>
      </c>
      <c r="Z83" s="17">
        <f t="shared" si="4"/>
        <v>0</v>
      </c>
      <c r="AA83" s="17">
        <f t="shared" si="4"/>
        <v>0</v>
      </c>
      <c r="AB83" s="17">
        <f t="shared" si="4"/>
        <v>0</v>
      </c>
      <c r="AC83" s="17">
        <f t="shared" si="4"/>
        <v>0</v>
      </c>
      <c r="AD83" s="17">
        <f t="shared" si="4"/>
        <v>0</v>
      </c>
      <c r="AE83" s="17">
        <f t="shared" si="4"/>
        <v>0</v>
      </c>
      <c r="AF83" s="17">
        <f t="shared" si="4"/>
        <v>0</v>
      </c>
      <c r="AG83" s="17">
        <f t="shared" si="4"/>
        <v>0</v>
      </c>
      <c r="AH83" s="17">
        <f t="shared" si="4"/>
        <v>0</v>
      </c>
      <c r="AI83" s="17">
        <f t="shared" si="4"/>
        <v>0</v>
      </c>
      <c r="AJ83" s="17">
        <f t="shared" si="4"/>
        <v>0</v>
      </c>
      <c r="AK83" s="17">
        <f t="shared" si="4"/>
        <v>0</v>
      </c>
      <c r="AL83" s="17">
        <f t="shared" si="4"/>
        <v>0</v>
      </c>
      <c r="AM83" s="17">
        <f t="shared" si="4"/>
        <v>0</v>
      </c>
      <c r="AN83" s="17">
        <f t="shared" si="4"/>
        <v>0</v>
      </c>
      <c r="AO83" s="17">
        <f t="shared" si="4"/>
        <v>0</v>
      </c>
      <c r="AP83" s="17">
        <f t="shared" si="4"/>
        <v>0</v>
      </c>
      <c r="AQ83" s="17">
        <f t="shared" si="4"/>
        <v>0</v>
      </c>
      <c r="AR83" s="17">
        <f t="shared" si="4"/>
        <v>0</v>
      </c>
      <c r="AS83" s="17">
        <f t="shared" si="4"/>
        <v>0</v>
      </c>
      <c r="AT83" s="17">
        <f t="shared" si="4"/>
        <v>0</v>
      </c>
      <c r="AU83" s="17">
        <f t="shared" si="4"/>
        <v>0</v>
      </c>
      <c r="AV83" s="17">
        <f t="shared" si="4"/>
        <v>0</v>
      </c>
      <c r="AW83" s="17">
        <f t="shared" si="4"/>
        <v>0</v>
      </c>
      <c r="AX83" s="17">
        <f t="shared" si="4"/>
        <v>0</v>
      </c>
      <c r="AY83" s="17">
        <f t="shared" si="4"/>
        <v>0</v>
      </c>
      <c r="AZ83" s="17">
        <f t="shared" si="4"/>
        <v>0</v>
      </c>
      <c r="BA83" s="17">
        <f t="shared" si="4"/>
        <v>0</v>
      </c>
      <c r="BB83" s="17">
        <f t="shared" si="4"/>
        <v>0</v>
      </c>
      <c r="BC83" s="17">
        <f t="shared" si="4"/>
        <v>0</v>
      </c>
      <c r="BD83" s="17">
        <f t="shared" si="4"/>
        <v>0</v>
      </c>
      <c r="BE83" s="17">
        <f t="shared" si="4"/>
        <v>0</v>
      </c>
      <c r="BF83" s="17">
        <f t="shared" si="4"/>
        <v>0</v>
      </c>
    </row>
    <row r="84" spans="2:62" x14ac:dyDescent="0.25">
      <c r="B84" s="17">
        <f>SUM(B15:B16)-B14</f>
        <v>0</v>
      </c>
      <c r="C84" s="17">
        <f t="shared" ref="C84:BF84" si="5">SUM(C15:C16)-C14</f>
        <v>0</v>
      </c>
      <c r="D84" s="17">
        <f t="shared" si="5"/>
        <v>0</v>
      </c>
      <c r="E84" s="17">
        <f t="shared" si="5"/>
        <v>0</v>
      </c>
      <c r="F84" s="17">
        <f t="shared" si="5"/>
        <v>0</v>
      </c>
      <c r="G84" s="17">
        <f t="shared" si="5"/>
        <v>0</v>
      </c>
      <c r="H84" s="17">
        <f t="shared" si="5"/>
        <v>0</v>
      </c>
      <c r="I84" s="17">
        <f t="shared" si="5"/>
        <v>0</v>
      </c>
      <c r="J84" s="17">
        <f t="shared" si="5"/>
        <v>0</v>
      </c>
      <c r="K84" s="17">
        <f t="shared" si="5"/>
        <v>0</v>
      </c>
      <c r="L84" s="17">
        <f t="shared" si="5"/>
        <v>0</v>
      </c>
      <c r="M84" s="17">
        <f t="shared" si="5"/>
        <v>0</v>
      </c>
      <c r="N84" s="17">
        <f t="shared" si="5"/>
        <v>0</v>
      </c>
      <c r="O84" s="17">
        <f t="shared" si="5"/>
        <v>0</v>
      </c>
      <c r="P84" s="17">
        <f t="shared" si="5"/>
        <v>0</v>
      </c>
      <c r="Q84" s="17">
        <f t="shared" si="5"/>
        <v>0</v>
      </c>
      <c r="R84" s="17">
        <f t="shared" si="5"/>
        <v>0</v>
      </c>
      <c r="S84" s="17">
        <f t="shared" si="5"/>
        <v>0</v>
      </c>
      <c r="T84" s="17">
        <f t="shared" si="5"/>
        <v>0</v>
      </c>
      <c r="U84" s="17">
        <f t="shared" si="5"/>
        <v>0</v>
      </c>
      <c r="V84" s="17">
        <f t="shared" si="5"/>
        <v>0</v>
      </c>
      <c r="W84" s="17">
        <f t="shared" si="5"/>
        <v>0</v>
      </c>
      <c r="X84" s="17">
        <f t="shared" si="5"/>
        <v>0</v>
      </c>
      <c r="Y84" s="17">
        <f t="shared" si="5"/>
        <v>0</v>
      </c>
      <c r="Z84" s="17">
        <f t="shared" si="5"/>
        <v>0</v>
      </c>
      <c r="AA84" s="17">
        <f t="shared" si="5"/>
        <v>0</v>
      </c>
      <c r="AB84" s="17">
        <f t="shared" si="5"/>
        <v>0</v>
      </c>
      <c r="AC84" s="17">
        <f t="shared" si="5"/>
        <v>0</v>
      </c>
      <c r="AD84" s="17">
        <f t="shared" si="5"/>
        <v>0</v>
      </c>
      <c r="AE84" s="17">
        <f t="shared" si="5"/>
        <v>0</v>
      </c>
      <c r="AF84" s="17">
        <f t="shared" si="5"/>
        <v>0</v>
      </c>
      <c r="AG84" s="17">
        <f t="shared" si="5"/>
        <v>0</v>
      </c>
      <c r="AH84" s="17">
        <f t="shared" si="5"/>
        <v>0</v>
      </c>
      <c r="AI84" s="17">
        <f t="shared" si="5"/>
        <v>0</v>
      </c>
      <c r="AJ84" s="17">
        <f t="shared" si="5"/>
        <v>0</v>
      </c>
      <c r="AK84" s="17">
        <f t="shared" si="5"/>
        <v>0</v>
      </c>
      <c r="AL84" s="17">
        <f t="shared" si="5"/>
        <v>0</v>
      </c>
      <c r="AM84" s="17">
        <f t="shared" si="5"/>
        <v>0</v>
      </c>
      <c r="AN84" s="17">
        <f t="shared" si="5"/>
        <v>0</v>
      </c>
      <c r="AO84" s="17">
        <f t="shared" si="5"/>
        <v>0</v>
      </c>
      <c r="AP84" s="17">
        <f t="shared" si="5"/>
        <v>0</v>
      </c>
      <c r="AQ84" s="17">
        <f t="shared" si="5"/>
        <v>0</v>
      </c>
      <c r="AR84" s="17">
        <f t="shared" si="5"/>
        <v>0</v>
      </c>
      <c r="AS84" s="17">
        <f t="shared" si="5"/>
        <v>0</v>
      </c>
      <c r="AT84" s="17">
        <f t="shared" si="5"/>
        <v>0</v>
      </c>
      <c r="AU84" s="17">
        <f t="shared" si="5"/>
        <v>0</v>
      </c>
      <c r="AV84" s="17">
        <f t="shared" si="5"/>
        <v>0</v>
      </c>
      <c r="AW84" s="17">
        <f t="shared" si="5"/>
        <v>0</v>
      </c>
      <c r="AX84" s="17">
        <f t="shared" si="5"/>
        <v>0</v>
      </c>
      <c r="AY84" s="17">
        <f t="shared" si="5"/>
        <v>0</v>
      </c>
      <c r="AZ84" s="17">
        <f t="shared" si="5"/>
        <v>0</v>
      </c>
      <c r="BA84" s="17">
        <f t="shared" si="5"/>
        <v>0</v>
      </c>
      <c r="BB84" s="17">
        <f t="shared" si="5"/>
        <v>0</v>
      </c>
      <c r="BC84" s="17">
        <f t="shared" si="5"/>
        <v>0</v>
      </c>
      <c r="BD84" s="17">
        <f t="shared" si="5"/>
        <v>0</v>
      </c>
      <c r="BE84" s="17">
        <f t="shared" si="5"/>
        <v>0</v>
      </c>
      <c r="BF84" s="17">
        <f t="shared" si="5"/>
        <v>0</v>
      </c>
    </row>
    <row r="85" spans="2:62" x14ac:dyDescent="0.25">
      <c r="B85" s="17">
        <f>SUM(B18:B20)-B17</f>
        <v>0</v>
      </c>
      <c r="C85" s="17">
        <f t="shared" ref="C85:BF85" si="6">SUM(C18:C20)-C17</f>
        <v>0</v>
      </c>
      <c r="D85" s="17">
        <f t="shared" si="6"/>
        <v>0</v>
      </c>
      <c r="E85" s="17">
        <f t="shared" si="6"/>
        <v>0</v>
      </c>
      <c r="F85" s="17">
        <f t="shared" si="6"/>
        <v>0</v>
      </c>
      <c r="G85" s="17">
        <f t="shared" si="6"/>
        <v>0</v>
      </c>
      <c r="H85" s="17">
        <f t="shared" si="6"/>
        <v>0</v>
      </c>
      <c r="I85" s="17">
        <f t="shared" si="6"/>
        <v>0</v>
      </c>
      <c r="J85" s="17">
        <f t="shared" si="6"/>
        <v>0</v>
      </c>
      <c r="K85" s="17">
        <f t="shared" si="6"/>
        <v>0</v>
      </c>
      <c r="L85" s="17">
        <f t="shared" si="6"/>
        <v>0</v>
      </c>
      <c r="M85" s="17">
        <f t="shared" si="6"/>
        <v>0</v>
      </c>
      <c r="N85" s="17">
        <f t="shared" si="6"/>
        <v>0</v>
      </c>
      <c r="O85" s="17">
        <f t="shared" si="6"/>
        <v>0</v>
      </c>
      <c r="P85" s="17">
        <f t="shared" si="6"/>
        <v>0</v>
      </c>
      <c r="Q85" s="17">
        <f t="shared" si="6"/>
        <v>0</v>
      </c>
      <c r="R85" s="17">
        <f t="shared" si="6"/>
        <v>0</v>
      </c>
      <c r="S85" s="17">
        <f t="shared" si="6"/>
        <v>0</v>
      </c>
      <c r="T85" s="17">
        <f t="shared" si="6"/>
        <v>0</v>
      </c>
      <c r="U85" s="17">
        <f t="shared" si="6"/>
        <v>0</v>
      </c>
      <c r="V85" s="17">
        <f t="shared" si="6"/>
        <v>0</v>
      </c>
      <c r="W85" s="17">
        <f t="shared" si="6"/>
        <v>0</v>
      </c>
      <c r="X85" s="17">
        <f t="shared" si="6"/>
        <v>0</v>
      </c>
      <c r="Y85" s="17">
        <f t="shared" si="6"/>
        <v>0</v>
      </c>
      <c r="Z85" s="17">
        <f t="shared" si="6"/>
        <v>0</v>
      </c>
      <c r="AA85" s="17">
        <f t="shared" si="6"/>
        <v>0</v>
      </c>
      <c r="AB85" s="17">
        <f t="shared" si="6"/>
        <v>0</v>
      </c>
      <c r="AC85" s="17">
        <f t="shared" si="6"/>
        <v>0</v>
      </c>
      <c r="AD85" s="17">
        <f t="shared" si="6"/>
        <v>0</v>
      </c>
      <c r="AE85" s="17">
        <f t="shared" si="6"/>
        <v>0</v>
      </c>
      <c r="AF85" s="17">
        <f t="shared" si="6"/>
        <v>0</v>
      </c>
      <c r="AG85" s="17">
        <f t="shared" si="6"/>
        <v>0</v>
      </c>
      <c r="AH85" s="17">
        <f t="shared" si="6"/>
        <v>0</v>
      </c>
      <c r="AI85" s="17">
        <f t="shared" si="6"/>
        <v>0</v>
      </c>
      <c r="AJ85" s="17">
        <f t="shared" si="6"/>
        <v>0</v>
      </c>
      <c r="AK85" s="17">
        <f t="shared" si="6"/>
        <v>0</v>
      </c>
      <c r="AL85" s="17">
        <f t="shared" si="6"/>
        <v>0</v>
      </c>
      <c r="AM85" s="17">
        <f t="shared" si="6"/>
        <v>0</v>
      </c>
      <c r="AN85" s="17">
        <f t="shared" si="6"/>
        <v>0</v>
      </c>
      <c r="AO85" s="17">
        <f t="shared" si="6"/>
        <v>0</v>
      </c>
      <c r="AP85" s="17">
        <f t="shared" si="6"/>
        <v>0</v>
      </c>
      <c r="AQ85" s="17">
        <f t="shared" si="6"/>
        <v>0</v>
      </c>
      <c r="AR85" s="17">
        <f t="shared" si="6"/>
        <v>0</v>
      </c>
      <c r="AS85" s="17">
        <f t="shared" si="6"/>
        <v>0</v>
      </c>
      <c r="AT85" s="17">
        <f t="shared" si="6"/>
        <v>0</v>
      </c>
      <c r="AU85" s="17">
        <f t="shared" si="6"/>
        <v>0</v>
      </c>
      <c r="AV85" s="17">
        <f t="shared" si="6"/>
        <v>0</v>
      </c>
      <c r="AW85" s="17">
        <f t="shared" si="6"/>
        <v>0</v>
      </c>
      <c r="AX85" s="17">
        <f t="shared" si="6"/>
        <v>0</v>
      </c>
      <c r="AY85" s="17">
        <f t="shared" si="6"/>
        <v>0</v>
      </c>
      <c r="AZ85" s="17">
        <f t="shared" si="6"/>
        <v>0</v>
      </c>
      <c r="BA85" s="17">
        <f t="shared" si="6"/>
        <v>0</v>
      </c>
      <c r="BB85" s="17">
        <f t="shared" si="6"/>
        <v>0</v>
      </c>
      <c r="BC85" s="17">
        <f t="shared" si="6"/>
        <v>0</v>
      </c>
      <c r="BD85" s="17">
        <f t="shared" si="6"/>
        <v>0</v>
      </c>
      <c r="BE85" s="17">
        <f t="shared" si="6"/>
        <v>0</v>
      </c>
      <c r="BF85" s="17">
        <f t="shared" si="6"/>
        <v>0</v>
      </c>
    </row>
    <row r="86" spans="2:62" x14ac:dyDescent="0.25">
      <c r="B86" s="17">
        <f>SUM(B22:B26)-B21</f>
        <v>0</v>
      </c>
      <c r="C86" s="17">
        <f t="shared" ref="C86:BF86" si="7">SUM(C22:C26)-C21</f>
        <v>0</v>
      </c>
      <c r="D86" s="17">
        <f t="shared" si="7"/>
        <v>0</v>
      </c>
      <c r="E86" s="17">
        <f t="shared" si="7"/>
        <v>0</v>
      </c>
      <c r="F86" s="17">
        <f t="shared" si="7"/>
        <v>0</v>
      </c>
      <c r="G86" s="17">
        <f t="shared" si="7"/>
        <v>0</v>
      </c>
      <c r="H86" s="17">
        <f t="shared" si="7"/>
        <v>0</v>
      </c>
      <c r="I86" s="17">
        <f t="shared" si="7"/>
        <v>0</v>
      </c>
      <c r="J86" s="17">
        <f t="shared" si="7"/>
        <v>0</v>
      </c>
      <c r="K86" s="17">
        <f t="shared" si="7"/>
        <v>0</v>
      </c>
      <c r="L86" s="17">
        <f t="shared" si="7"/>
        <v>0</v>
      </c>
      <c r="M86" s="17">
        <f t="shared" si="7"/>
        <v>0</v>
      </c>
      <c r="N86" s="17">
        <f t="shared" si="7"/>
        <v>0</v>
      </c>
      <c r="O86" s="17">
        <f t="shared" si="7"/>
        <v>0</v>
      </c>
      <c r="P86" s="17">
        <f t="shared" si="7"/>
        <v>0</v>
      </c>
      <c r="Q86" s="17">
        <f t="shared" si="7"/>
        <v>0</v>
      </c>
      <c r="R86" s="17">
        <f t="shared" si="7"/>
        <v>0</v>
      </c>
      <c r="S86" s="17">
        <f t="shared" si="7"/>
        <v>0</v>
      </c>
      <c r="T86" s="17">
        <f t="shared" si="7"/>
        <v>0</v>
      </c>
      <c r="U86" s="17">
        <f t="shared" si="7"/>
        <v>0</v>
      </c>
      <c r="V86" s="17">
        <f t="shared" si="7"/>
        <v>0</v>
      </c>
      <c r="W86" s="17">
        <f t="shared" si="7"/>
        <v>0</v>
      </c>
      <c r="X86" s="17">
        <f t="shared" si="7"/>
        <v>0</v>
      </c>
      <c r="Y86" s="17">
        <f t="shared" si="7"/>
        <v>0</v>
      </c>
      <c r="Z86" s="17">
        <f t="shared" si="7"/>
        <v>0</v>
      </c>
      <c r="AA86" s="17">
        <f t="shared" si="7"/>
        <v>0</v>
      </c>
      <c r="AB86" s="17">
        <f t="shared" si="7"/>
        <v>0</v>
      </c>
      <c r="AC86" s="17">
        <f t="shared" si="7"/>
        <v>0</v>
      </c>
      <c r="AD86" s="17">
        <f t="shared" si="7"/>
        <v>0</v>
      </c>
      <c r="AE86" s="17">
        <f t="shared" si="7"/>
        <v>0</v>
      </c>
      <c r="AF86" s="17">
        <f t="shared" si="7"/>
        <v>0</v>
      </c>
      <c r="AG86" s="17">
        <f t="shared" si="7"/>
        <v>0</v>
      </c>
      <c r="AH86" s="17">
        <f t="shared" si="7"/>
        <v>0</v>
      </c>
      <c r="AI86" s="17">
        <f t="shared" si="7"/>
        <v>0</v>
      </c>
      <c r="AJ86" s="17">
        <f t="shared" si="7"/>
        <v>0</v>
      </c>
      <c r="AK86" s="17">
        <f t="shared" si="7"/>
        <v>0</v>
      </c>
      <c r="AL86" s="17">
        <f t="shared" si="7"/>
        <v>0</v>
      </c>
      <c r="AM86" s="17">
        <f t="shared" si="7"/>
        <v>0</v>
      </c>
      <c r="AN86" s="17">
        <f t="shared" si="7"/>
        <v>0</v>
      </c>
      <c r="AO86" s="17">
        <f t="shared" si="7"/>
        <v>0</v>
      </c>
      <c r="AP86" s="17">
        <f t="shared" si="7"/>
        <v>0</v>
      </c>
      <c r="AQ86" s="17">
        <f t="shared" si="7"/>
        <v>0</v>
      </c>
      <c r="AR86" s="17">
        <f t="shared" si="7"/>
        <v>0</v>
      </c>
      <c r="AS86" s="17">
        <f t="shared" si="7"/>
        <v>0</v>
      </c>
      <c r="AT86" s="17">
        <f t="shared" si="7"/>
        <v>0</v>
      </c>
      <c r="AU86" s="17">
        <f t="shared" si="7"/>
        <v>0</v>
      </c>
      <c r="AV86" s="17">
        <f t="shared" si="7"/>
        <v>0</v>
      </c>
      <c r="AW86" s="17">
        <f t="shared" si="7"/>
        <v>0</v>
      </c>
      <c r="AX86" s="17">
        <f t="shared" si="7"/>
        <v>0</v>
      </c>
      <c r="AY86" s="17">
        <f t="shared" si="7"/>
        <v>0</v>
      </c>
      <c r="AZ86" s="17">
        <f t="shared" si="7"/>
        <v>0</v>
      </c>
      <c r="BA86" s="17">
        <f t="shared" si="7"/>
        <v>0</v>
      </c>
      <c r="BB86" s="17">
        <f t="shared" si="7"/>
        <v>0</v>
      </c>
      <c r="BC86" s="17">
        <f t="shared" si="7"/>
        <v>0</v>
      </c>
      <c r="BD86" s="17">
        <f t="shared" si="7"/>
        <v>0</v>
      </c>
      <c r="BE86" s="17">
        <f t="shared" si="7"/>
        <v>0</v>
      </c>
      <c r="BF86" s="17">
        <f t="shared" si="7"/>
        <v>0</v>
      </c>
    </row>
    <row r="87" spans="2:62" x14ac:dyDescent="0.25">
      <c r="B87" s="17">
        <f>SUM(B29:B30)-B28</f>
        <v>0</v>
      </c>
      <c r="C87" s="17">
        <f t="shared" ref="C87:BF87" si="8">SUM(C29:C30)-C28</f>
        <v>0</v>
      </c>
      <c r="D87" s="17">
        <f t="shared" si="8"/>
        <v>0</v>
      </c>
      <c r="E87" s="17">
        <f t="shared" si="8"/>
        <v>0</v>
      </c>
      <c r="F87" s="17">
        <f t="shared" si="8"/>
        <v>0</v>
      </c>
      <c r="G87" s="17">
        <f t="shared" si="8"/>
        <v>0</v>
      </c>
      <c r="H87" s="17">
        <f t="shared" si="8"/>
        <v>0</v>
      </c>
      <c r="I87" s="17">
        <f t="shared" si="8"/>
        <v>0</v>
      </c>
      <c r="J87" s="17">
        <f t="shared" si="8"/>
        <v>0</v>
      </c>
      <c r="K87" s="17">
        <f t="shared" si="8"/>
        <v>0</v>
      </c>
      <c r="L87" s="17">
        <f t="shared" si="8"/>
        <v>0</v>
      </c>
      <c r="M87" s="17">
        <f t="shared" si="8"/>
        <v>0</v>
      </c>
      <c r="N87" s="17">
        <f t="shared" si="8"/>
        <v>0</v>
      </c>
      <c r="O87" s="17">
        <f t="shared" si="8"/>
        <v>0</v>
      </c>
      <c r="P87" s="17">
        <f t="shared" si="8"/>
        <v>0</v>
      </c>
      <c r="Q87" s="17">
        <f t="shared" si="8"/>
        <v>0</v>
      </c>
      <c r="R87" s="17">
        <f t="shared" si="8"/>
        <v>0</v>
      </c>
      <c r="S87" s="17">
        <f t="shared" si="8"/>
        <v>0</v>
      </c>
      <c r="T87" s="17">
        <f t="shared" si="8"/>
        <v>0</v>
      </c>
      <c r="U87" s="17">
        <f t="shared" si="8"/>
        <v>0</v>
      </c>
      <c r="V87" s="17">
        <f t="shared" si="8"/>
        <v>0</v>
      </c>
      <c r="W87" s="17">
        <f t="shared" si="8"/>
        <v>0</v>
      </c>
      <c r="X87" s="17">
        <f t="shared" si="8"/>
        <v>0</v>
      </c>
      <c r="Y87" s="17">
        <f t="shared" si="8"/>
        <v>0</v>
      </c>
      <c r="Z87" s="17">
        <f t="shared" si="8"/>
        <v>0</v>
      </c>
      <c r="AA87" s="17">
        <f t="shared" si="8"/>
        <v>0</v>
      </c>
      <c r="AB87" s="17">
        <f t="shared" si="8"/>
        <v>0</v>
      </c>
      <c r="AC87" s="17">
        <f t="shared" si="8"/>
        <v>0</v>
      </c>
      <c r="AD87" s="17">
        <f t="shared" si="8"/>
        <v>0</v>
      </c>
      <c r="AE87" s="17">
        <f t="shared" si="8"/>
        <v>0</v>
      </c>
      <c r="AF87" s="17">
        <f t="shared" si="8"/>
        <v>0</v>
      </c>
      <c r="AG87" s="17">
        <f t="shared" si="8"/>
        <v>0</v>
      </c>
      <c r="AH87" s="17">
        <f t="shared" si="8"/>
        <v>0</v>
      </c>
      <c r="AI87" s="17">
        <f t="shared" si="8"/>
        <v>0</v>
      </c>
      <c r="AJ87" s="17">
        <f t="shared" si="8"/>
        <v>0</v>
      </c>
      <c r="AK87" s="17">
        <f t="shared" si="8"/>
        <v>0</v>
      </c>
      <c r="AL87" s="17">
        <f t="shared" si="8"/>
        <v>0</v>
      </c>
      <c r="AM87" s="17">
        <f t="shared" si="8"/>
        <v>0</v>
      </c>
      <c r="AN87" s="17">
        <f t="shared" si="8"/>
        <v>0</v>
      </c>
      <c r="AO87" s="17">
        <f t="shared" si="8"/>
        <v>0</v>
      </c>
      <c r="AP87" s="17">
        <f t="shared" si="8"/>
        <v>0</v>
      </c>
      <c r="AQ87" s="17">
        <f t="shared" si="8"/>
        <v>0</v>
      </c>
      <c r="AR87" s="17">
        <f t="shared" si="8"/>
        <v>0</v>
      </c>
      <c r="AS87" s="17">
        <f t="shared" si="8"/>
        <v>0</v>
      </c>
      <c r="AT87" s="17">
        <f t="shared" si="8"/>
        <v>0</v>
      </c>
      <c r="AU87" s="17">
        <f t="shared" si="8"/>
        <v>0</v>
      </c>
      <c r="AV87" s="17">
        <f t="shared" si="8"/>
        <v>0</v>
      </c>
      <c r="AW87" s="17">
        <f t="shared" si="8"/>
        <v>0</v>
      </c>
      <c r="AX87" s="17">
        <f t="shared" si="8"/>
        <v>0</v>
      </c>
      <c r="AY87" s="17">
        <f t="shared" si="8"/>
        <v>0</v>
      </c>
      <c r="AZ87" s="17">
        <f t="shared" si="8"/>
        <v>0</v>
      </c>
      <c r="BA87" s="17">
        <f t="shared" si="8"/>
        <v>0</v>
      </c>
      <c r="BB87" s="17">
        <f t="shared" si="8"/>
        <v>0</v>
      </c>
      <c r="BC87" s="17">
        <f t="shared" si="8"/>
        <v>0</v>
      </c>
      <c r="BD87" s="17">
        <f t="shared" si="8"/>
        <v>0</v>
      </c>
      <c r="BE87" s="17">
        <f t="shared" si="8"/>
        <v>0</v>
      </c>
      <c r="BF87" s="17">
        <f t="shared" si="8"/>
        <v>0</v>
      </c>
    </row>
    <row r="88" spans="2:62" x14ac:dyDescent="0.25">
      <c r="B88" s="17">
        <f>SUM(B32:B33)-B31</f>
        <v>0</v>
      </c>
      <c r="C88" s="17">
        <f t="shared" ref="C88:BF88" si="9">SUM(C32:C33)-C31</f>
        <v>0</v>
      </c>
      <c r="D88" s="17">
        <f t="shared" si="9"/>
        <v>0</v>
      </c>
      <c r="E88" s="17">
        <f t="shared" si="9"/>
        <v>0</v>
      </c>
      <c r="F88" s="17">
        <f t="shared" si="9"/>
        <v>0</v>
      </c>
      <c r="G88" s="17">
        <f t="shared" si="9"/>
        <v>0</v>
      </c>
      <c r="H88" s="17">
        <f t="shared" si="9"/>
        <v>0</v>
      </c>
      <c r="I88" s="17">
        <f t="shared" si="9"/>
        <v>0</v>
      </c>
      <c r="J88" s="17">
        <f t="shared" si="9"/>
        <v>0</v>
      </c>
      <c r="K88" s="17">
        <f t="shared" si="9"/>
        <v>0</v>
      </c>
      <c r="L88" s="17">
        <f t="shared" si="9"/>
        <v>0</v>
      </c>
      <c r="M88" s="17">
        <f t="shared" si="9"/>
        <v>0</v>
      </c>
      <c r="N88" s="17">
        <f t="shared" si="9"/>
        <v>0</v>
      </c>
      <c r="O88" s="17">
        <f t="shared" si="9"/>
        <v>0</v>
      </c>
      <c r="P88" s="17">
        <f t="shared" si="9"/>
        <v>0</v>
      </c>
      <c r="Q88" s="17">
        <f t="shared" si="9"/>
        <v>0</v>
      </c>
      <c r="R88" s="17">
        <f t="shared" si="9"/>
        <v>0</v>
      </c>
      <c r="S88" s="17">
        <f t="shared" si="9"/>
        <v>0</v>
      </c>
      <c r="T88" s="17">
        <f t="shared" si="9"/>
        <v>0</v>
      </c>
      <c r="U88" s="17">
        <f t="shared" si="9"/>
        <v>0</v>
      </c>
      <c r="V88" s="17">
        <f t="shared" si="9"/>
        <v>0</v>
      </c>
      <c r="W88" s="17">
        <f t="shared" si="9"/>
        <v>0</v>
      </c>
      <c r="X88" s="17">
        <f t="shared" si="9"/>
        <v>0</v>
      </c>
      <c r="Y88" s="17">
        <f t="shared" si="9"/>
        <v>0</v>
      </c>
      <c r="Z88" s="17">
        <f t="shared" si="9"/>
        <v>0</v>
      </c>
      <c r="AA88" s="17">
        <f t="shared" si="9"/>
        <v>0</v>
      </c>
      <c r="AB88" s="17">
        <f t="shared" si="9"/>
        <v>0</v>
      </c>
      <c r="AC88" s="17">
        <f t="shared" si="9"/>
        <v>0</v>
      </c>
      <c r="AD88" s="17">
        <f t="shared" si="9"/>
        <v>0</v>
      </c>
      <c r="AE88" s="17">
        <f t="shared" si="9"/>
        <v>0</v>
      </c>
      <c r="AF88" s="17">
        <f t="shared" si="9"/>
        <v>0</v>
      </c>
      <c r="AG88" s="17">
        <f t="shared" si="9"/>
        <v>0</v>
      </c>
      <c r="AH88" s="17">
        <f t="shared" si="9"/>
        <v>0</v>
      </c>
      <c r="AI88" s="17">
        <f t="shared" si="9"/>
        <v>0</v>
      </c>
      <c r="AJ88" s="17">
        <f t="shared" si="9"/>
        <v>0</v>
      </c>
      <c r="AK88" s="17">
        <f t="shared" si="9"/>
        <v>0</v>
      </c>
      <c r="AL88" s="17">
        <f t="shared" si="9"/>
        <v>0</v>
      </c>
      <c r="AM88" s="17">
        <f t="shared" si="9"/>
        <v>0</v>
      </c>
      <c r="AN88" s="17">
        <f t="shared" si="9"/>
        <v>0</v>
      </c>
      <c r="AO88" s="17">
        <f t="shared" si="9"/>
        <v>0</v>
      </c>
      <c r="AP88" s="17">
        <f t="shared" si="9"/>
        <v>0</v>
      </c>
      <c r="AQ88" s="17">
        <f t="shared" si="9"/>
        <v>0</v>
      </c>
      <c r="AR88" s="17">
        <f t="shared" si="9"/>
        <v>0</v>
      </c>
      <c r="AS88" s="17">
        <f t="shared" si="9"/>
        <v>0</v>
      </c>
      <c r="AT88" s="17">
        <f t="shared" si="9"/>
        <v>0</v>
      </c>
      <c r="AU88" s="17">
        <f t="shared" si="9"/>
        <v>0</v>
      </c>
      <c r="AV88" s="17">
        <f t="shared" si="9"/>
        <v>0</v>
      </c>
      <c r="AW88" s="17">
        <f t="shared" si="9"/>
        <v>0</v>
      </c>
      <c r="AX88" s="17">
        <f t="shared" si="9"/>
        <v>0</v>
      </c>
      <c r="AY88" s="17">
        <f t="shared" si="9"/>
        <v>0</v>
      </c>
      <c r="AZ88" s="17">
        <f t="shared" si="9"/>
        <v>0</v>
      </c>
      <c r="BA88" s="17">
        <f t="shared" si="9"/>
        <v>0</v>
      </c>
      <c r="BB88" s="17">
        <f t="shared" si="9"/>
        <v>0</v>
      </c>
      <c r="BC88" s="17">
        <f t="shared" si="9"/>
        <v>0</v>
      </c>
      <c r="BD88" s="17">
        <f t="shared" si="9"/>
        <v>0</v>
      </c>
      <c r="BE88" s="17">
        <f t="shared" si="9"/>
        <v>0</v>
      </c>
      <c r="BF88" s="17">
        <f t="shared" si="9"/>
        <v>0</v>
      </c>
    </row>
    <row r="89" spans="2:62" x14ac:dyDescent="0.25">
      <c r="B89" s="17">
        <f>SUM(B35:B36)-B34</f>
        <v>0</v>
      </c>
      <c r="C89" s="17">
        <f t="shared" ref="C89:BF89" si="10">SUM(C35:C36)-C34</f>
        <v>0</v>
      </c>
      <c r="D89" s="17">
        <f t="shared" si="10"/>
        <v>0</v>
      </c>
      <c r="E89" s="17">
        <f t="shared" si="10"/>
        <v>0</v>
      </c>
      <c r="F89" s="17">
        <f t="shared" si="10"/>
        <v>0</v>
      </c>
      <c r="G89" s="17">
        <f t="shared" si="10"/>
        <v>0</v>
      </c>
      <c r="H89" s="17">
        <f t="shared" si="10"/>
        <v>0</v>
      </c>
      <c r="I89" s="17">
        <f t="shared" si="10"/>
        <v>0</v>
      </c>
      <c r="J89" s="17">
        <f t="shared" si="10"/>
        <v>0</v>
      </c>
      <c r="K89" s="17">
        <f t="shared" si="10"/>
        <v>0</v>
      </c>
      <c r="L89" s="17">
        <f t="shared" si="10"/>
        <v>0</v>
      </c>
      <c r="M89" s="17">
        <f t="shared" si="10"/>
        <v>0</v>
      </c>
      <c r="N89" s="17">
        <f t="shared" si="10"/>
        <v>0</v>
      </c>
      <c r="O89" s="17">
        <f t="shared" si="10"/>
        <v>0</v>
      </c>
      <c r="P89" s="17">
        <f t="shared" si="10"/>
        <v>0</v>
      </c>
      <c r="Q89" s="17">
        <f t="shared" si="10"/>
        <v>0</v>
      </c>
      <c r="R89" s="17">
        <f t="shared" si="10"/>
        <v>0</v>
      </c>
      <c r="S89" s="17">
        <f t="shared" si="10"/>
        <v>0</v>
      </c>
      <c r="T89" s="17">
        <f t="shared" si="10"/>
        <v>0</v>
      </c>
      <c r="U89" s="17">
        <f t="shared" si="10"/>
        <v>0</v>
      </c>
      <c r="V89" s="17">
        <f t="shared" si="10"/>
        <v>0</v>
      </c>
      <c r="W89" s="17">
        <f t="shared" si="10"/>
        <v>0</v>
      </c>
      <c r="X89" s="17">
        <f t="shared" si="10"/>
        <v>0</v>
      </c>
      <c r="Y89" s="17">
        <f t="shared" si="10"/>
        <v>0</v>
      </c>
      <c r="Z89" s="17">
        <f t="shared" si="10"/>
        <v>0</v>
      </c>
      <c r="AA89" s="17">
        <f t="shared" si="10"/>
        <v>0</v>
      </c>
      <c r="AB89" s="17">
        <f t="shared" si="10"/>
        <v>0</v>
      </c>
      <c r="AC89" s="17">
        <f t="shared" si="10"/>
        <v>0</v>
      </c>
      <c r="AD89" s="17">
        <f t="shared" si="10"/>
        <v>0</v>
      </c>
      <c r="AE89" s="17">
        <f t="shared" si="10"/>
        <v>0</v>
      </c>
      <c r="AF89" s="17">
        <f t="shared" si="10"/>
        <v>0</v>
      </c>
      <c r="AG89" s="17">
        <f t="shared" si="10"/>
        <v>0</v>
      </c>
      <c r="AH89" s="17">
        <f t="shared" si="10"/>
        <v>0</v>
      </c>
      <c r="AI89" s="17">
        <f t="shared" si="10"/>
        <v>0</v>
      </c>
      <c r="AJ89" s="17">
        <f t="shared" si="10"/>
        <v>0</v>
      </c>
      <c r="AK89" s="17">
        <f t="shared" si="10"/>
        <v>0</v>
      </c>
      <c r="AL89" s="17">
        <f t="shared" si="10"/>
        <v>0</v>
      </c>
      <c r="AM89" s="17">
        <f t="shared" si="10"/>
        <v>0</v>
      </c>
      <c r="AN89" s="17">
        <f t="shared" si="10"/>
        <v>0</v>
      </c>
      <c r="AO89" s="17">
        <f t="shared" si="10"/>
        <v>0</v>
      </c>
      <c r="AP89" s="17">
        <f t="shared" si="10"/>
        <v>0</v>
      </c>
      <c r="AQ89" s="17">
        <f t="shared" si="10"/>
        <v>0</v>
      </c>
      <c r="AR89" s="17">
        <f t="shared" si="10"/>
        <v>0</v>
      </c>
      <c r="AS89" s="17">
        <f t="shared" si="10"/>
        <v>0</v>
      </c>
      <c r="AT89" s="17">
        <f t="shared" si="10"/>
        <v>0</v>
      </c>
      <c r="AU89" s="17">
        <f t="shared" si="10"/>
        <v>0</v>
      </c>
      <c r="AV89" s="17">
        <f t="shared" si="10"/>
        <v>0</v>
      </c>
      <c r="AW89" s="17">
        <f t="shared" si="10"/>
        <v>0</v>
      </c>
      <c r="AX89" s="17">
        <f t="shared" si="10"/>
        <v>0</v>
      </c>
      <c r="AY89" s="17">
        <f t="shared" si="10"/>
        <v>0</v>
      </c>
      <c r="AZ89" s="17">
        <f t="shared" si="10"/>
        <v>0</v>
      </c>
      <c r="BA89" s="17">
        <f t="shared" si="10"/>
        <v>0</v>
      </c>
      <c r="BB89" s="17">
        <f t="shared" si="10"/>
        <v>0</v>
      </c>
      <c r="BC89" s="17">
        <f t="shared" si="10"/>
        <v>0</v>
      </c>
      <c r="BD89" s="17">
        <f t="shared" si="10"/>
        <v>0</v>
      </c>
      <c r="BE89" s="17">
        <f t="shared" si="10"/>
        <v>0</v>
      </c>
      <c r="BF89" s="17">
        <f t="shared" si="10"/>
        <v>0</v>
      </c>
    </row>
    <row r="90" spans="2:62" x14ac:dyDescent="0.25">
      <c r="B90" s="17">
        <f>SUM(B39:B40)-B38</f>
        <v>0</v>
      </c>
      <c r="C90" s="17">
        <f t="shared" ref="C90:BF90" si="11">SUM(C39:C40)-C38</f>
        <v>0</v>
      </c>
      <c r="D90" s="17">
        <f t="shared" si="11"/>
        <v>0</v>
      </c>
      <c r="E90" s="17">
        <f t="shared" si="11"/>
        <v>0</v>
      </c>
      <c r="F90" s="17">
        <f t="shared" si="11"/>
        <v>0</v>
      </c>
      <c r="G90" s="17">
        <f t="shared" si="11"/>
        <v>0</v>
      </c>
      <c r="H90" s="17">
        <f t="shared" si="11"/>
        <v>0</v>
      </c>
      <c r="I90" s="17">
        <f t="shared" si="11"/>
        <v>0</v>
      </c>
      <c r="J90" s="17">
        <f t="shared" si="11"/>
        <v>0</v>
      </c>
      <c r="K90" s="17">
        <f t="shared" si="11"/>
        <v>0</v>
      </c>
      <c r="L90" s="17">
        <f t="shared" si="11"/>
        <v>0</v>
      </c>
      <c r="M90" s="17">
        <f t="shared" si="11"/>
        <v>0</v>
      </c>
      <c r="N90" s="17">
        <f t="shared" si="11"/>
        <v>0</v>
      </c>
      <c r="O90" s="17">
        <f t="shared" si="11"/>
        <v>0</v>
      </c>
      <c r="P90" s="17">
        <f t="shared" si="11"/>
        <v>0</v>
      </c>
      <c r="Q90" s="17">
        <f t="shared" si="11"/>
        <v>0</v>
      </c>
      <c r="R90" s="17">
        <f t="shared" si="11"/>
        <v>0</v>
      </c>
      <c r="S90" s="17">
        <f t="shared" si="11"/>
        <v>0</v>
      </c>
      <c r="T90" s="17">
        <f t="shared" si="11"/>
        <v>0</v>
      </c>
      <c r="U90" s="17">
        <f t="shared" si="11"/>
        <v>0</v>
      </c>
      <c r="V90" s="17">
        <f t="shared" si="11"/>
        <v>0</v>
      </c>
      <c r="W90" s="17">
        <f t="shared" si="11"/>
        <v>0</v>
      </c>
      <c r="X90" s="17">
        <f t="shared" si="11"/>
        <v>0</v>
      </c>
      <c r="Y90" s="17">
        <f t="shared" si="11"/>
        <v>0</v>
      </c>
      <c r="Z90" s="17">
        <f t="shared" si="11"/>
        <v>0</v>
      </c>
      <c r="AA90" s="17">
        <f t="shared" si="11"/>
        <v>0</v>
      </c>
      <c r="AB90" s="17">
        <f t="shared" si="11"/>
        <v>0</v>
      </c>
      <c r="AC90" s="17">
        <f t="shared" si="11"/>
        <v>0</v>
      </c>
      <c r="AD90" s="17">
        <f t="shared" si="11"/>
        <v>0</v>
      </c>
      <c r="AE90" s="17">
        <f t="shared" si="11"/>
        <v>0</v>
      </c>
      <c r="AF90" s="17">
        <f t="shared" si="11"/>
        <v>0</v>
      </c>
      <c r="AG90" s="17">
        <f t="shared" si="11"/>
        <v>0</v>
      </c>
      <c r="AH90" s="17">
        <f t="shared" si="11"/>
        <v>0</v>
      </c>
      <c r="AI90" s="17">
        <f t="shared" si="11"/>
        <v>0</v>
      </c>
      <c r="AJ90" s="17">
        <f t="shared" si="11"/>
        <v>0</v>
      </c>
      <c r="AK90" s="17">
        <f t="shared" si="11"/>
        <v>0</v>
      </c>
      <c r="AL90" s="17">
        <f t="shared" si="11"/>
        <v>0</v>
      </c>
      <c r="AM90" s="17">
        <f t="shared" si="11"/>
        <v>0</v>
      </c>
      <c r="AN90" s="17">
        <f t="shared" si="11"/>
        <v>0</v>
      </c>
      <c r="AO90" s="17">
        <f t="shared" si="11"/>
        <v>0</v>
      </c>
      <c r="AP90" s="17">
        <f t="shared" si="11"/>
        <v>0</v>
      </c>
      <c r="AQ90" s="17">
        <f t="shared" si="11"/>
        <v>0</v>
      </c>
      <c r="AR90" s="17">
        <f t="shared" si="11"/>
        <v>0</v>
      </c>
      <c r="AS90" s="17">
        <f t="shared" si="11"/>
        <v>0</v>
      </c>
      <c r="AT90" s="17">
        <f t="shared" si="11"/>
        <v>0</v>
      </c>
      <c r="AU90" s="17">
        <f t="shared" si="11"/>
        <v>0</v>
      </c>
      <c r="AV90" s="17">
        <f t="shared" si="11"/>
        <v>0</v>
      </c>
      <c r="AW90" s="17">
        <f t="shared" si="11"/>
        <v>0</v>
      </c>
      <c r="AX90" s="17">
        <f t="shared" si="11"/>
        <v>0</v>
      </c>
      <c r="AY90" s="17">
        <f t="shared" si="11"/>
        <v>0</v>
      </c>
      <c r="AZ90" s="17">
        <f t="shared" si="11"/>
        <v>0</v>
      </c>
      <c r="BA90" s="17">
        <f t="shared" si="11"/>
        <v>0</v>
      </c>
      <c r="BB90" s="17">
        <f t="shared" si="11"/>
        <v>0</v>
      </c>
      <c r="BC90" s="17">
        <f t="shared" si="11"/>
        <v>0</v>
      </c>
      <c r="BD90" s="17">
        <f t="shared" si="11"/>
        <v>0</v>
      </c>
      <c r="BE90" s="17">
        <f t="shared" si="11"/>
        <v>0</v>
      </c>
      <c r="BF90" s="17">
        <f t="shared" si="11"/>
        <v>0</v>
      </c>
    </row>
    <row r="91" spans="2:62" x14ac:dyDescent="0.25">
      <c r="B91" s="17">
        <f>SUM(B42:B45,B47)-B41</f>
        <v>0</v>
      </c>
      <c r="C91" s="17">
        <f t="shared" ref="C91:BF91" si="12">SUM(C42:C45,C47)-C41</f>
        <v>0</v>
      </c>
      <c r="D91" s="17">
        <f t="shared" si="12"/>
        <v>0</v>
      </c>
      <c r="E91" s="17">
        <f t="shared" si="12"/>
        <v>0</v>
      </c>
      <c r="F91" s="17">
        <f t="shared" si="12"/>
        <v>0</v>
      </c>
      <c r="G91" s="17">
        <f t="shared" si="12"/>
        <v>0</v>
      </c>
      <c r="H91" s="17">
        <f t="shared" si="12"/>
        <v>0</v>
      </c>
      <c r="I91" s="17">
        <f t="shared" si="12"/>
        <v>0</v>
      </c>
      <c r="J91" s="17">
        <f t="shared" si="12"/>
        <v>0</v>
      </c>
      <c r="K91" s="17">
        <f t="shared" si="12"/>
        <v>0</v>
      </c>
      <c r="L91" s="17">
        <f t="shared" si="12"/>
        <v>0</v>
      </c>
      <c r="M91" s="17">
        <f t="shared" si="12"/>
        <v>0</v>
      </c>
      <c r="N91" s="17">
        <f t="shared" si="12"/>
        <v>0</v>
      </c>
      <c r="O91" s="17">
        <f t="shared" si="12"/>
        <v>0</v>
      </c>
      <c r="P91" s="17">
        <f t="shared" si="12"/>
        <v>0</v>
      </c>
      <c r="Q91" s="17">
        <f t="shared" si="12"/>
        <v>0</v>
      </c>
      <c r="R91" s="17">
        <f t="shared" si="12"/>
        <v>0</v>
      </c>
      <c r="S91" s="17">
        <f t="shared" si="12"/>
        <v>0</v>
      </c>
      <c r="T91" s="17">
        <f t="shared" si="12"/>
        <v>0</v>
      </c>
      <c r="U91" s="17">
        <f t="shared" si="12"/>
        <v>0</v>
      </c>
      <c r="V91" s="17">
        <f t="shared" si="12"/>
        <v>0</v>
      </c>
      <c r="W91" s="17">
        <f t="shared" si="12"/>
        <v>0</v>
      </c>
      <c r="X91" s="17">
        <f t="shared" si="12"/>
        <v>0</v>
      </c>
      <c r="Y91" s="17">
        <f t="shared" si="12"/>
        <v>0</v>
      </c>
      <c r="Z91" s="17">
        <f t="shared" si="12"/>
        <v>0</v>
      </c>
      <c r="AA91" s="17">
        <f t="shared" si="12"/>
        <v>0</v>
      </c>
      <c r="AB91" s="17">
        <f t="shared" si="12"/>
        <v>0</v>
      </c>
      <c r="AC91" s="17">
        <f t="shared" si="12"/>
        <v>0</v>
      </c>
      <c r="AD91" s="17">
        <f t="shared" si="12"/>
        <v>0</v>
      </c>
      <c r="AE91" s="17">
        <f t="shared" si="12"/>
        <v>0</v>
      </c>
      <c r="AF91" s="17">
        <f t="shared" si="12"/>
        <v>0</v>
      </c>
      <c r="AG91" s="17">
        <f t="shared" si="12"/>
        <v>0</v>
      </c>
      <c r="AH91" s="17">
        <f t="shared" si="12"/>
        <v>0</v>
      </c>
      <c r="AI91" s="17">
        <f t="shared" si="12"/>
        <v>0</v>
      </c>
      <c r="AJ91" s="17">
        <f t="shared" si="12"/>
        <v>0</v>
      </c>
      <c r="AK91" s="17">
        <f t="shared" si="12"/>
        <v>0</v>
      </c>
      <c r="AL91" s="17">
        <f t="shared" si="12"/>
        <v>0</v>
      </c>
      <c r="AM91" s="17">
        <f t="shared" si="12"/>
        <v>0</v>
      </c>
      <c r="AN91" s="17">
        <f t="shared" si="12"/>
        <v>0</v>
      </c>
      <c r="AO91" s="17">
        <f t="shared" si="12"/>
        <v>0</v>
      </c>
      <c r="AP91" s="17">
        <f t="shared" si="12"/>
        <v>0</v>
      </c>
      <c r="AQ91" s="17">
        <f t="shared" si="12"/>
        <v>0</v>
      </c>
      <c r="AR91" s="17">
        <f t="shared" si="12"/>
        <v>0</v>
      </c>
      <c r="AS91" s="17">
        <f t="shared" si="12"/>
        <v>0</v>
      </c>
      <c r="AT91" s="17">
        <f t="shared" si="12"/>
        <v>0</v>
      </c>
      <c r="AU91" s="17">
        <f t="shared" si="12"/>
        <v>0</v>
      </c>
      <c r="AV91" s="17">
        <f t="shared" si="12"/>
        <v>0</v>
      </c>
      <c r="AW91" s="17">
        <f t="shared" si="12"/>
        <v>0</v>
      </c>
      <c r="AX91" s="17">
        <f t="shared" si="12"/>
        <v>0</v>
      </c>
      <c r="AY91" s="17">
        <f t="shared" si="12"/>
        <v>0</v>
      </c>
      <c r="AZ91" s="17">
        <f t="shared" si="12"/>
        <v>0</v>
      </c>
      <c r="BA91" s="17">
        <f t="shared" si="12"/>
        <v>0</v>
      </c>
      <c r="BB91" s="17">
        <f t="shared" si="12"/>
        <v>0</v>
      </c>
      <c r="BC91" s="17">
        <f t="shared" si="12"/>
        <v>0</v>
      </c>
      <c r="BD91" s="17">
        <f t="shared" si="12"/>
        <v>0</v>
      </c>
      <c r="BE91" s="17">
        <f t="shared" si="12"/>
        <v>0</v>
      </c>
      <c r="BF91" s="17">
        <f t="shared" si="12"/>
        <v>0</v>
      </c>
    </row>
    <row r="92" spans="2:62" x14ac:dyDescent="0.25">
      <c r="B92" s="17">
        <f>SUM(B52:B53)-B51</f>
        <v>0</v>
      </c>
      <c r="C92" s="17">
        <f t="shared" ref="C92:BF92" si="13">SUM(C52:C53)-C51</f>
        <v>0</v>
      </c>
      <c r="D92" s="17">
        <f t="shared" si="13"/>
        <v>0</v>
      </c>
      <c r="E92" s="17">
        <f t="shared" si="13"/>
        <v>0</v>
      </c>
      <c r="F92" s="17">
        <f t="shared" si="13"/>
        <v>0</v>
      </c>
      <c r="G92" s="17">
        <f t="shared" si="13"/>
        <v>0</v>
      </c>
      <c r="H92" s="17">
        <f t="shared" si="13"/>
        <v>0</v>
      </c>
      <c r="I92" s="17">
        <f t="shared" si="13"/>
        <v>0</v>
      </c>
      <c r="J92" s="17">
        <f t="shared" si="13"/>
        <v>0</v>
      </c>
      <c r="K92" s="17">
        <f t="shared" si="13"/>
        <v>0</v>
      </c>
      <c r="L92" s="17">
        <f t="shared" si="13"/>
        <v>0</v>
      </c>
      <c r="M92" s="17">
        <f t="shared" si="13"/>
        <v>0</v>
      </c>
      <c r="N92" s="17">
        <f t="shared" si="13"/>
        <v>0</v>
      </c>
      <c r="O92" s="17">
        <f t="shared" si="13"/>
        <v>0</v>
      </c>
      <c r="P92" s="17">
        <f t="shared" si="13"/>
        <v>0</v>
      </c>
      <c r="Q92" s="17">
        <f t="shared" si="13"/>
        <v>0</v>
      </c>
      <c r="R92" s="17">
        <f t="shared" si="13"/>
        <v>0</v>
      </c>
      <c r="S92" s="17">
        <f t="shared" si="13"/>
        <v>0</v>
      </c>
      <c r="T92" s="17">
        <f t="shared" si="13"/>
        <v>0</v>
      </c>
      <c r="U92" s="17">
        <f t="shared" si="13"/>
        <v>0</v>
      </c>
      <c r="V92" s="17">
        <f t="shared" si="13"/>
        <v>0</v>
      </c>
      <c r="W92" s="17">
        <f t="shared" si="13"/>
        <v>0</v>
      </c>
      <c r="X92" s="17">
        <f t="shared" si="13"/>
        <v>0</v>
      </c>
      <c r="Y92" s="17">
        <f t="shared" si="13"/>
        <v>0</v>
      </c>
      <c r="Z92" s="17">
        <f t="shared" si="13"/>
        <v>0</v>
      </c>
      <c r="AA92" s="17">
        <f t="shared" si="13"/>
        <v>0</v>
      </c>
      <c r="AB92" s="17">
        <f t="shared" si="13"/>
        <v>0</v>
      </c>
      <c r="AC92" s="17">
        <f t="shared" si="13"/>
        <v>0</v>
      </c>
      <c r="AD92" s="17">
        <f t="shared" si="13"/>
        <v>0</v>
      </c>
      <c r="AE92" s="17">
        <f t="shared" si="13"/>
        <v>0</v>
      </c>
      <c r="AF92" s="17">
        <f t="shared" si="13"/>
        <v>0</v>
      </c>
      <c r="AG92" s="17">
        <f t="shared" si="13"/>
        <v>0</v>
      </c>
      <c r="AH92" s="17">
        <f t="shared" si="13"/>
        <v>0</v>
      </c>
      <c r="AI92" s="17">
        <f t="shared" si="13"/>
        <v>0</v>
      </c>
      <c r="AJ92" s="17">
        <f t="shared" si="13"/>
        <v>0</v>
      </c>
      <c r="AK92" s="17">
        <f t="shared" si="13"/>
        <v>0</v>
      </c>
      <c r="AL92" s="17">
        <f t="shared" si="13"/>
        <v>0</v>
      </c>
      <c r="AM92" s="17">
        <f t="shared" si="13"/>
        <v>0</v>
      </c>
      <c r="AN92" s="17">
        <f t="shared" si="13"/>
        <v>0</v>
      </c>
      <c r="AO92" s="17">
        <f t="shared" si="13"/>
        <v>0</v>
      </c>
      <c r="AP92" s="17">
        <f t="shared" si="13"/>
        <v>0</v>
      </c>
      <c r="AQ92" s="17">
        <f t="shared" si="13"/>
        <v>0</v>
      </c>
      <c r="AR92" s="17">
        <f t="shared" si="13"/>
        <v>0</v>
      </c>
      <c r="AS92" s="17">
        <f t="shared" si="13"/>
        <v>0</v>
      </c>
      <c r="AT92" s="17">
        <f t="shared" si="13"/>
        <v>0</v>
      </c>
      <c r="AU92" s="17">
        <f t="shared" si="13"/>
        <v>0</v>
      </c>
      <c r="AV92" s="17">
        <f t="shared" si="13"/>
        <v>0</v>
      </c>
      <c r="AW92" s="17">
        <f t="shared" si="13"/>
        <v>0</v>
      </c>
      <c r="AX92" s="17">
        <f t="shared" si="13"/>
        <v>0</v>
      </c>
      <c r="AY92" s="17">
        <f t="shared" si="13"/>
        <v>0</v>
      </c>
      <c r="AZ92" s="17">
        <f t="shared" si="13"/>
        <v>0</v>
      </c>
      <c r="BA92" s="17">
        <f t="shared" si="13"/>
        <v>0</v>
      </c>
      <c r="BB92" s="17">
        <f t="shared" si="13"/>
        <v>0</v>
      </c>
      <c r="BC92" s="17">
        <f t="shared" si="13"/>
        <v>0</v>
      </c>
      <c r="BD92" s="17">
        <f t="shared" si="13"/>
        <v>0</v>
      </c>
      <c r="BE92" s="17">
        <f t="shared" si="13"/>
        <v>0</v>
      </c>
      <c r="BF92" s="17">
        <f t="shared" si="13"/>
        <v>0</v>
      </c>
    </row>
    <row r="93" spans="2:62" x14ac:dyDescent="0.25">
      <c r="B93" s="17">
        <f>SUM(B59:B62)-B58</f>
        <v>0</v>
      </c>
      <c r="C93" s="17">
        <f t="shared" ref="C93:BF93" si="14">SUM(C59:C62)-C58</f>
        <v>0</v>
      </c>
      <c r="D93" s="17">
        <f t="shared" si="14"/>
        <v>0</v>
      </c>
      <c r="E93" s="17">
        <f>SUM(E59:E62)-E58</f>
        <v>0</v>
      </c>
      <c r="F93" s="17">
        <f t="shared" si="14"/>
        <v>0</v>
      </c>
      <c r="G93" s="17">
        <f t="shared" si="14"/>
        <v>0</v>
      </c>
      <c r="H93" s="17">
        <f t="shared" si="14"/>
        <v>0</v>
      </c>
      <c r="I93" s="17">
        <f t="shared" si="14"/>
        <v>0</v>
      </c>
      <c r="J93" s="17">
        <f t="shared" si="14"/>
        <v>0</v>
      </c>
      <c r="K93" s="17">
        <f t="shared" si="14"/>
        <v>0</v>
      </c>
      <c r="L93" s="17">
        <f t="shared" si="14"/>
        <v>0</v>
      </c>
      <c r="M93" s="17">
        <f t="shared" si="14"/>
        <v>0</v>
      </c>
      <c r="N93" s="17">
        <f t="shared" si="14"/>
        <v>0</v>
      </c>
      <c r="O93" s="17">
        <f t="shared" si="14"/>
        <v>0</v>
      </c>
      <c r="P93" s="17">
        <f t="shared" si="14"/>
        <v>0</v>
      </c>
      <c r="Q93" s="17">
        <f t="shared" si="14"/>
        <v>0</v>
      </c>
      <c r="R93" s="17">
        <f t="shared" si="14"/>
        <v>0</v>
      </c>
      <c r="S93" s="17">
        <f t="shared" si="14"/>
        <v>0</v>
      </c>
      <c r="T93" s="17">
        <f t="shared" si="14"/>
        <v>0</v>
      </c>
      <c r="U93" s="17">
        <f t="shared" si="14"/>
        <v>0</v>
      </c>
      <c r="V93" s="17">
        <f t="shared" si="14"/>
        <v>0</v>
      </c>
      <c r="W93" s="17">
        <f t="shared" si="14"/>
        <v>0</v>
      </c>
      <c r="X93" s="17">
        <f t="shared" si="14"/>
        <v>0</v>
      </c>
      <c r="Y93" s="17">
        <f t="shared" si="14"/>
        <v>0</v>
      </c>
      <c r="Z93" s="17">
        <f t="shared" si="14"/>
        <v>0</v>
      </c>
      <c r="AA93" s="17">
        <f t="shared" si="14"/>
        <v>0</v>
      </c>
      <c r="AB93" s="17">
        <f t="shared" si="14"/>
        <v>0</v>
      </c>
      <c r="AC93" s="17">
        <f t="shared" si="14"/>
        <v>0</v>
      </c>
      <c r="AD93" s="17">
        <f t="shared" si="14"/>
        <v>0</v>
      </c>
      <c r="AE93" s="17">
        <f t="shared" si="14"/>
        <v>0</v>
      </c>
      <c r="AF93" s="17">
        <f t="shared" si="14"/>
        <v>0</v>
      </c>
      <c r="AG93" s="17">
        <f t="shared" si="14"/>
        <v>0</v>
      </c>
      <c r="AH93" s="17">
        <f t="shared" si="14"/>
        <v>0</v>
      </c>
      <c r="AI93" s="17">
        <f t="shared" si="14"/>
        <v>0</v>
      </c>
      <c r="AJ93" s="17">
        <f t="shared" si="14"/>
        <v>0</v>
      </c>
      <c r="AK93" s="17">
        <f t="shared" si="14"/>
        <v>0</v>
      </c>
      <c r="AL93" s="17">
        <f t="shared" si="14"/>
        <v>0</v>
      </c>
      <c r="AM93" s="17">
        <f t="shared" si="14"/>
        <v>0</v>
      </c>
      <c r="AN93" s="17">
        <f t="shared" si="14"/>
        <v>0</v>
      </c>
      <c r="AO93" s="17">
        <f t="shared" si="14"/>
        <v>0</v>
      </c>
      <c r="AP93" s="17">
        <f t="shared" si="14"/>
        <v>0</v>
      </c>
      <c r="AQ93" s="17">
        <f t="shared" si="14"/>
        <v>0</v>
      </c>
      <c r="AR93" s="17">
        <f t="shared" si="14"/>
        <v>0</v>
      </c>
      <c r="AS93" s="17">
        <f t="shared" si="14"/>
        <v>0</v>
      </c>
      <c r="AT93" s="17">
        <f t="shared" si="14"/>
        <v>0</v>
      </c>
      <c r="AU93" s="17">
        <f t="shared" si="14"/>
        <v>0</v>
      </c>
      <c r="AV93" s="17">
        <f t="shared" si="14"/>
        <v>0</v>
      </c>
      <c r="AW93" s="17">
        <f t="shared" si="14"/>
        <v>0</v>
      </c>
      <c r="AX93" s="17">
        <f t="shared" si="14"/>
        <v>0</v>
      </c>
      <c r="AY93" s="17">
        <f t="shared" si="14"/>
        <v>0</v>
      </c>
      <c r="AZ93" s="17">
        <f t="shared" si="14"/>
        <v>0</v>
      </c>
      <c r="BA93" s="17">
        <f t="shared" si="14"/>
        <v>0</v>
      </c>
      <c r="BB93" s="17">
        <f t="shared" si="14"/>
        <v>0</v>
      </c>
      <c r="BC93" s="17">
        <f t="shared" si="14"/>
        <v>0</v>
      </c>
      <c r="BD93" s="17">
        <f t="shared" si="14"/>
        <v>0</v>
      </c>
      <c r="BE93" s="17">
        <f t="shared" si="14"/>
        <v>0</v>
      </c>
      <c r="BF93" s="17">
        <f t="shared" si="14"/>
        <v>0</v>
      </c>
    </row>
    <row r="94" spans="2:62" x14ac:dyDescent="0.25">
      <c r="B94" s="17">
        <f>SUM(B65:B70)-B64</f>
        <v>0</v>
      </c>
      <c r="C94" s="17">
        <f t="shared" ref="C94:BF94" si="15">SUM(C65:C70)-C64</f>
        <v>0</v>
      </c>
      <c r="D94" s="17">
        <f t="shared" si="15"/>
        <v>0</v>
      </c>
      <c r="E94" s="17">
        <f t="shared" si="15"/>
        <v>0</v>
      </c>
      <c r="F94" s="17">
        <f t="shared" si="15"/>
        <v>0</v>
      </c>
      <c r="G94" s="17">
        <f t="shared" si="15"/>
        <v>0</v>
      </c>
      <c r="H94" s="17">
        <f t="shared" si="15"/>
        <v>0</v>
      </c>
      <c r="I94" s="17">
        <f t="shared" si="15"/>
        <v>0</v>
      </c>
      <c r="J94" s="17">
        <f t="shared" si="15"/>
        <v>0</v>
      </c>
      <c r="K94" s="17">
        <f t="shared" si="15"/>
        <v>0</v>
      </c>
      <c r="L94" s="17">
        <f t="shared" si="15"/>
        <v>0</v>
      </c>
      <c r="M94" s="17">
        <f t="shared" si="15"/>
        <v>0</v>
      </c>
      <c r="N94" s="17">
        <f t="shared" si="15"/>
        <v>0</v>
      </c>
      <c r="O94" s="17">
        <f t="shared" si="15"/>
        <v>0</v>
      </c>
      <c r="P94" s="17">
        <f t="shared" si="15"/>
        <v>0</v>
      </c>
      <c r="Q94" s="17">
        <f t="shared" si="15"/>
        <v>0</v>
      </c>
      <c r="R94" s="17">
        <f t="shared" si="15"/>
        <v>0</v>
      </c>
      <c r="S94" s="17">
        <f t="shared" si="15"/>
        <v>0</v>
      </c>
      <c r="T94" s="17">
        <f t="shared" si="15"/>
        <v>0</v>
      </c>
      <c r="U94" s="17">
        <f t="shared" si="15"/>
        <v>0</v>
      </c>
      <c r="V94" s="17">
        <f t="shared" si="15"/>
        <v>0</v>
      </c>
      <c r="W94" s="17">
        <f t="shared" si="15"/>
        <v>0</v>
      </c>
      <c r="X94" s="17">
        <f t="shared" si="15"/>
        <v>0</v>
      </c>
      <c r="Y94" s="17">
        <f t="shared" si="15"/>
        <v>0</v>
      </c>
      <c r="Z94" s="17">
        <f t="shared" si="15"/>
        <v>0</v>
      </c>
      <c r="AA94" s="17">
        <f t="shared" si="15"/>
        <v>0</v>
      </c>
      <c r="AB94" s="17">
        <f t="shared" si="15"/>
        <v>0</v>
      </c>
      <c r="AC94" s="17">
        <f t="shared" si="15"/>
        <v>0</v>
      </c>
      <c r="AD94" s="17">
        <f t="shared" si="15"/>
        <v>0</v>
      </c>
      <c r="AE94" s="17">
        <f t="shared" si="15"/>
        <v>0</v>
      </c>
      <c r="AF94" s="17">
        <f t="shared" si="15"/>
        <v>0</v>
      </c>
      <c r="AG94" s="17">
        <f t="shared" si="15"/>
        <v>0</v>
      </c>
      <c r="AH94" s="17">
        <f t="shared" si="15"/>
        <v>0</v>
      </c>
      <c r="AI94" s="17">
        <f t="shared" si="15"/>
        <v>0</v>
      </c>
      <c r="AJ94" s="17">
        <f t="shared" si="15"/>
        <v>0</v>
      </c>
      <c r="AK94" s="17">
        <f t="shared" si="15"/>
        <v>0</v>
      </c>
      <c r="AL94" s="17">
        <f t="shared" si="15"/>
        <v>0</v>
      </c>
      <c r="AM94" s="17">
        <f t="shared" si="15"/>
        <v>0</v>
      </c>
      <c r="AN94" s="17">
        <f t="shared" si="15"/>
        <v>0</v>
      </c>
      <c r="AO94" s="17">
        <f t="shared" si="15"/>
        <v>0</v>
      </c>
      <c r="AP94" s="17">
        <f t="shared" si="15"/>
        <v>0</v>
      </c>
      <c r="AQ94" s="17">
        <f t="shared" si="15"/>
        <v>0</v>
      </c>
      <c r="AR94" s="17">
        <f t="shared" si="15"/>
        <v>0</v>
      </c>
      <c r="AS94" s="17">
        <f t="shared" si="15"/>
        <v>0</v>
      </c>
      <c r="AT94" s="17">
        <f t="shared" si="15"/>
        <v>0</v>
      </c>
      <c r="AU94" s="17">
        <f t="shared" si="15"/>
        <v>0</v>
      </c>
      <c r="AV94" s="17">
        <f t="shared" si="15"/>
        <v>0</v>
      </c>
      <c r="AW94" s="17">
        <f t="shared" si="15"/>
        <v>0</v>
      </c>
      <c r="AX94" s="17">
        <f t="shared" si="15"/>
        <v>0</v>
      </c>
      <c r="AY94" s="17">
        <f t="shared" si="15"/>
        <v>0</v>
      </c>
      <c r="AZ94" s="17">
        <f t="shared" si="15"/>
        <v>0</v>
      </c>
      <c r="BA94" s="17">
        <f t="shared" si="15"/>
        <v>0</v>
      </c>
      <c r="BB94" s="17">
        <f t="shared" si="15"/>
        <v>0</v>
      </c>
      <c r="BC94" s="17">
        <f t="shared" si="15"/>
        <v>0</v>
      </c>
      <c r="BD94" s="17">
        <f t="shared" si="15"/>
        <v>0</v>
      </c>
      <c r="BE94" s="17">
        <f t="shared" si="15"/>
        <v>0</v>
      </c>
      <c r="BF94" s="17">
        <f t="shared" si="15"/>
        <v>0</v>
      </c>
    </row>
    <row r="95" spans="2:62" x14ac:dyDescent="0.25">
      <c r="B95" s="17">
        <f>SUM(B71:B75,B64)-B63</f>
        <v>0</v>
      </c>
      <c r="C95" s="17">
        <f t="shared" ref="C95:BF95" si="16">SUM(C71:C75,C64)-C63</f>
        <v>0</v>
      </c>
      <c r="D95" s="17">
        <f t="shared" si="16"/>
        <v>0</v>
      </c>
      <c r="E95" s="17">
        <f>SUM(E71:E75,E64)-E63</f>
        <v>0</v>
      </c>
      <c r="F95" s="17">
        <f t="shared" si="16"/>
        <v>0</v>
      </c>
      <c r="G95" s="17">
        <f t="shared" si="16"/>
        <v>0</v>
      </c>
      <c r="H95" s="17">
        <f t="shared" si="16"/>
        <v>0</v>
      </c>
      <c r="I95" s="17">
        <f t="shared" si="16"/>
        <v>0</v>
      </c>
      <c r="J95" s="17">
        <f t="shared" si="16"/>
        <v>0</v>
      </c>
      <c r="K95" s="17">
        <f t="shared" si="16"/>
        <v>0</v>
      </c>
      <c r="L95" s="17">
        <f t="shared" si="16"/>
        <v>0</v>
      </c>
      <c r="M95" s="17">
        <f t="shared" si="16"/>
        <v>0</v>
      </c>
      <c r="N95" s="17">
        <f t="shared" si="16"/>
        <v>0</v>
      </c>
      <c r="O95" s="17">
        <f t="shared" si="16"/>
        <v>0</v>
      </c>
      <c r="P95" s="17">
        <f t="shared" si="16"/>
        <v>0</v>
      </c>
      <c r="Q95" s="17">
        <f t="shared" si="16"/>
        <v>0</v>
      </c>
      <c r="R95" s="17">
        <f t="shared" si="16"/>
        <v>0</v>
      </c>
      <c r="S95" s="17">
        <f t="shared" si="16"/>
        <v>0</v>
      </c>
      <c r="T95" s="17">
        <f t="shared" si="16"/>
        <v>0</v>
      </c>
      <c r="U95" s="17">
        <f t="shared" si="16"/>
        <v>0</v>
      </c>
      <c r="V95" s="17">
        <f t="shared" si="16"/>
        <v>0</v>
      </c>
      <c r="W95" s="17">
        <f t="shared" si="16"/>
        <v>0</v>
      </c>
      <c r="X95" s="17">
        <f t="shared" si="16"/>
        <v>0</v>
      </c>
      <c r="Y95" s="17">
        <f t="shared" si="16"/>
        <v>0</v>
      </c>
      <c r="Z95" s="17">
        <f t="shared" si="16"/>
        <v>0</v>
      </c>
      <c r="AA95" s="17">
        <f t="shared" si="16"/>
        <v>0</v>
      </c>
      <c r="AB95" s="17">
        <f t="shared" si="16"/>
        <v>0</v>
      </c>
      <c r="AC95" s="17">
        <f t="shared" si="16"/>
        <v>0</v>
      </c>
      <c r="AD95" s="17">
        <f t="shared" si="16"/>
        <v>0</v>
      </c>
      <c r="AE95" s="17">
        <f t="shared" si="16"/>
        <v>0</v>
      </c>
      <c r="AF95" s="17">
        <f t="shared" si="16"/>
        <v>0</v>
      </c>
      <c r="AG95" s="17">
        <f t="shared" si="16"/>
        <v>0</v>
      </c>
      <c r="AH95" s="17">
        <f t="shared" si="16"/>
        <v>0</v>
      </c>
      <c r="AI95" s="17">
        <f t="shared" si="16"/>
        <v>0</v>
      </c>
      <c r="AJ95" s="17">
        <f t="shared" si="16"/>
        <v>0</v>
      </c>
      <c r="AK95" s="17">
        <f t="shared" si="16"/>
        <v>0</v>
      </c>
      <c r="AL95" s="17">
        <f t="shared" si="16"/>
        <v>0</v>
      </c>
      <c r="AM95" s="17">
        <f t="shared" si="16"/>
        <v>0</v>
      </c>
      <c r="AN95" s="17">
        <f t="shared" si="16"/>
        <v>0</v>
      </c>
      <c r="AO95" s="17">
        <f t="shared" si="16"/>
        <v>0</v>
      </c>
      <c r="AP95" s="17">
        <f t="shared" si="16"/>
        <v>0</v>
      </c>
      <c r="AQ95" s="17">
        <f t="shared" si="16"/>
        <v>0</v>
      </c>
      <c r="AR95" s="17">
        <f t="shared" si="16"/>
        <v>0</v>
      </c>
      <c r="AS95" s="17">
        <f t="shared" si="16"/>
        <v>0</v>
      </c>
      <c r="AT95" s="17">
        <f t="shared" si="16"/>
        <v>0</v>
      </c>
      <c r="AU95" s="17">
        <f t="shared" si="16"/>
        <v>0</v>
      </c>
      <c r="AV95" s="17">
        <f t="shared" si="16"/>
        <v>0</v>
      </c>
      <c r="AW95" s="17">
        <f t="shared" si="16"/>
        <v>0</v>
      </c>
      <c r="AX95" s="17">
        <f t="shared" si="16"/>
        <v>0</v>
      </c>
      <c r="AY95" s="17">
        <f t="shared" si="16"/>
        <v>0</v>
      </c>
      <c r="AZ95" s="17">
        <f t="shared" si="16"/>
        <v>0</v>
      </c>
      <c r="BA95" s="17">
        <f t="shared" si="16"/>
        <v>0</v>
      </c>
      <c r="BB95" s="17">
        <f t="shared" si="16"/>
        <v>0</v>
      </c>
      <c r="BC95" s="17">
        <f t="shared" si="16"/>
        <v>0</v>
      </c>
      <c r="BD95" s="17">
        <f t="shared" si="16"/>
        <v>0</v>
      </c>
      <c r="BE95" s="17">
        <f t="shared" si="16"/>
        <v>0</v>
      </c>
      <c r="BF95" s="17">
        <f t="shared" si="16"/>
        <v>0</v>
      </c>
    </row>
    <row r="96" spans="2:62" x14ac:dyDescent="0.25">
      <c r="B96" s="17">
        <f>B27-B28-B31-B34-B37</f>
        <v>0</v>
      </c>
      <c r="C96" s="17">
        <f t="shared" ref="C96:BF96" si="17">C27-C28-C31-C34-C37</f>
        <v>0</v>
      </c>
      <c r="D96" s="17">
        <f t="shared" si="17"/>
        <v>0</v>
      </c>
      <c r="E96" s="17">
        <f t="shared" si="17"/>
        <v>0</v>
      </c>
      <c r="F96" s="17">
        <f t="shared" si="17"/>
        <v>0</v>
      </c>
      <c r="G96" s="17">
        <f t="shared" si="17"/>
        <v>0</v>
      </c>
      <c r="H96" s="17">
        <f t="shared" si="17"/>
        <v>0</v>
      </c>
      <c r="I96" s="17">
        <f t="shared" si="17"/>
        <v>0</v>
      </c>
      <c r="J96" s="17">
        <f t="shared" si="17"/>
        <v>0</v>
      </c>
      <c r="K96" s="17">
        <f t="shared" si="17"/>
        <v>0</v>
      </c>
      <c r="L96" s="17">
        <f t="shared" si="17"/>
        <v>0</v>
      </c>
      <c r="M96" s="17">
        <f t="shared" si="17"/>
        <v>0</v>
      </c>
      <c r="N96" s="17">
        <f t="shared" si="17"/>
        <v>0</v>
      </c>
      <c r="O96" s="17">
        <f t="shared" si="17"/>
        <v>0</v>
      </c>
      <c r="P96" s="17">
        <f t="shared" si="17"/>
        <v>0</v>
      </c>
      <c r="Q96" s="17">
        <f t="shared" si="17"/>
        <v>0</v>
      </c>
      <c r="R96" s="17">
        <f t="shared" si="17"/>
        <v>0</v>
      </c>
      <c r="S96" s="17">
        <f t="shared" si="17"/>
        <v>0</v>
      </c>
      <c r="T96" s="17">
        <f t="shared" si="17"/>
        <v>0</v>
      </c>
      <c r="U96" s="17">
        <f t="shared" si="17"/>
        <v>0</v>
      </c>
      <c r="V96" s="17">
        <f t="shared" si="17"/>
        <v>0</v>
      </c>
      <c r="W96" s="17">
        <f t="shared" si="17"/>
        <v>0</v>
      </c>
      <c r="X96" s="17">
        <f t="shared" si="17"/>
        <v>0</v>
      </c>
      <c r="Y96" s="17">
        <f t="shared" si="17"/>
        <v>0</v>
      </c>
      <c r="Z96" s="17">
        <f t="shared" si="17"/>
        <v>0</v>
      </c>
      <c r="AA96" s="17">
        <f t="shared" si="17"/>
        <v>0</v>
      </c>
      <c r="AB96" s="17">
        <f t="shared" si="17"/>
        <v>0</v>
      </c>
      <c r="AC96" s="17">
        <f t="shared" si="17"/>
        <v>0</v>
      </c>
      <c r="AD96" s="17">
        <f t="shared" si="17"/>
        <v>0</v>
      </c>
      <c r="AE96" s="17">
        <f t="shared" si="17"/>
        <v>0</v>
      </c>
      <c r="AF96" s="17">
        <f t="shared" si="17"/>
        <v>0</v>
      </c>
      <c r="AG96" s="17">
        <f t="shared" si="17"/>
        <v>0</v>
      </c>
      <c r="AH96" s="17">
        <f t="shared" si="17"/>
        <v>0</v>
      </c>
      <c r="AI96" s="17">
        <f t="shared" si="17"/>
        <v>0</v>
      </c>
      <c r="AJ96" s="17">
        <f t="shared" si="17"/>
        <v>0</v>
      </c>
      <c r="AK96" s="17">
        <f t="shared" si="17"/>
        <v>0</v>
      </c>
      <c r="AL96" s="17">
        <f t="shared" si="17"/>
        <v>0</v>
      </c>
      <c r="AM96" s="17">
        <f t="shared" si="17"/>
        <v>0</v>
      </c>
      <c r="AN96" s="17">
        <f t="shared" si="17"/>
        <v>0</v>
      </c>
      <c r="AO96" s="17">
        <f t="shared" si="17"/>
        <v>0</v>
      </c>
      <c r="AP96" s="17">
        <f t="shared" si="17"/>
        <v>0</v>
      </c>
      <c r="AQ96" s="17">
        <f t="shared" si="17"/>
        <v>0</v>
      </c>
      <c r="AR96" s="17">
        <f t="shared" si="17"/>
        <v>0</v>
      </c>
      <c r="AS96" s="17">
        <f t="shared" si="17"/>
        <v>0</v>
      </c>
      <c r="AT96" s="17">
        <f t="shared" si="17"/>
        <v>0</v>
      </c>
      <c r="AU96" s="17">
        <f t="shared" si="17"/>
        <v>0</v>
      </c>
      <c r="AV96" s="17">
        <f t="shared" si="17"/>
        <v>0</v>
      </c>
      <c r="AW96" s="17">
        <f t="shared" si="17"/>
        <v>0</v>
      </c>
      <c r="AX96" s="17">
        <f t="shared" si="17"/>
        <v>0</v>
      </c>
      <c r="AY96" s="17">
        <f t="shared" si="17"/>
        <v>0</v>
      </c>
      <c r="AZ96" s="17">
        <f t="shared" si="17"/>
        <v>0</v>
      </c>
      <c r="BA96" s="17">
        <f t="shared" si="17"/>
        <v>0</v>
      </c>
      <c r="BB96" s="17">
        <f t="shared" si="17"/>
        <v>0</v>
      </c>
      <c r="BC96" s="17">
        <f t="shared" si="17"/>
        <v>0</v>
      </c>
      <c r="BD96" s="17">
        <f t="shared" si="17"/>
        <v>0</v>
      </c>
      <c r="BE96" s="17">
        <f t="shared" si="17"/>
        <v>0</v>
      </c>
      <c r="BF96" s="17">
        <f t="shared" si="17"/>
        <v>0</v>
      </c>
    </row>
  </sheetData>
  <conditionalFormatting sqref="B79:BF96">
    <cfRule type="cellIs" dxfId="4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G30"/>
  <sheetViews>
    <sheetView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R29" sqref="R29"/>
    </sheetView>
  </sheetViews>
  <sheetFormatPr defaultColWidth="7.625" defaultRowHeight="15" x14ac:dyDescent="0.25"/>
  <cols>
    <col min="1" max="1" width="66.375" style="13" bestFit="1" customWidth="1"/>
    <col min="2" max="17" width="11.25" style="13" hidden="1" customWidth="1"/>
    <col min="18" max="41" width="11.25" style="13" bestFit="1" customWidth="1"/>
    <col min="42" max="57" width="11.625" style="13" bestFit="1" customWidth="1"/>
    <col min="58" max="59" width="12.375" style="13" bestFit="1" customWidth="1"/>
    <col min="60" max="16384" width="7.625" style="13"/>
  </cols>
  <sheetData>
    <row r="1" spans="1:59" x14ac:dyDescent="0.25">
      <c r="B1" s="1" t="s">
        <v>127</v>
      </c>
      <c r="C1" s="1" t="s">
        <v>128</v>
      </c>
      <c r="D1" s="1" t="s">
        <v>129</v>
      </c>
      <c r="E1" s="1" t="s">
        <v>2</v>
      </c>
      <c r="F1" s="1" t="s">
        <v>3</v>
      </c>
      <c r="G1" s="1" t="s">
        <v>4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" t="s">
        <v>105</v>
      </c>
      <c r="AT1" s="1" t="s">
        <v>106</v>
      </c>
      <c r="AU1" s="1" t="s">
        <v>107</v>
      </c>
      <c r="AV1" s="1" t="s">
        <v>108</v>
      </c>
      <c r="AW1" s="1" t="s">
        <v>109</v>
      </c>
      <c r="AX1" s="1" t="s">
        <v>110</v>
      </c>
      <c r="AY1" s="1" t="s">
        <v>111</v>
      </c>
      <c r="AZ1" s="1" t="s">
        <v>112</v>
      </c>
      <c r="BA1" s="1" t="s">
        <v>113</v>
      </c>
      <c r="BB1" s="1" t="s">
        <v>114</v>
      </c>
      <c r="BC1" s="1" t="s">
        <v>115</v>
      </c>
      <c r="BD1" s="1" t="s">
        <v>116</v>
      </c>
      <c r="BE1" s="1" t="s">
        <v>117</v>
      </c>
      <c r="BF1" s="1" t="s">
        <v>125</v>
      </c>
      <c r="BG1" s="1" t="s">
        <v>126</v>
      </c>
    </row>
    <row r="2" spans="1:59" x14ac:dyDescent="0.25">
      <c r="A2" s="3" t="s">
        <v>130</v>
      </c>
      <c r="B2" s="6">
        <v>1318320</v>
      </c>
      <c r="C2" s="6">
        <v>1432300</v>
      </c>
      <c r="D2" s="6">
        <v>1413714</v>
      </c>
      <c r="E2" s="6">
        <v>951241</v>
      </c>
      <c r="F2" s="6">
        <v>1290026</v>
      </c>
      <c r="G2" s="6">
        <v>920543</v>
      </c>
      <c r="H2" s="6">
        <v>1018211</v>
      </c>
      <c r="I2" s="6">
        <v>1106882</v>
      </c>
      <c r="J2" s="6">
        <v>1293783</v>
      </c>
      <c r="K2" s="6">
        <v>1283870</v>
      </c>
      <c r="L2" s="6">
        <v>1604103</v>
      </c>
      <c r="M2" s="6">
        <v>1590874</v>
      </c>
      <c r="N2" s="6">
        <v>1861665</v>
      </c>
      <c r="O2" s="6">
        <v>1724467</v>
      </c>
      <c r="P2" s="6">
        <v>1560188</v>
      </c>
      <c r="Q2" s="6">
        <v>2061561</v>
      </c>
      <c r="R2" s="6">
        <v>2017163</v>
      </c>
      <c r="S2" s="6">
        <v>2197994</v>
      </c>
      <c r="T2" s="6">
        <v>2012408</v>
      </c>
      <c r="U2" s="6">
        <v>1914656</v>
      </c>
      <c r="V2" s="6">
        <v>2185990</v>
      </c>
      <c r="W2" s="6">
        <v>2220103</v>
      </c>
      <c r="X2" s="6">
        <v>2055360</v>
      </c>
      <c r="Y2" s="6">
        <v>2468959</v>
      </c>
      <c r="Z2" s="6">
        <v>2546672</v>
      </c>
      <c r="AA2" s="6">
        <v>2503946</v>
      </c>
      <c r="AB2" s="6">
        <v>3116905</v>
      </c>
      <c r="AC2" s="6">
        <v>2959012</v>
      </c>
      <c r="AD2" s="6">
        <v>3359469</v>
      </c>
      <c r="AE2" s="6">
        <v>3124025</v>
      </c>
      <c r="AF2" s="6">
        <v>3622066</v>
      </c>
      <c r="AG2" s="6">
        <v>3904209</v>
      </c>
      <c r="AH2" s="6">
        <v>4212412</v>
      </c>
      <c r="AI2" s="6">
        <v>3935378</v>
      </c>
      <c r="AJ2" s="6">
        <v>5147680</v>
      </c>
      <c r="AK2" s="6">
        <v>5493933</v>
      </c>
      <c r="AL2" s="6">
        <v>6123721</v>
      </c>
      <c r="AM2" s="6">
        <v>6587800</v>
      </c>
      <c r="AN2" s="6">
        <v>6742489</v>
      </c>
      <c r="AO2" s="6">
        <v>7244603</v>
      </c>
      <c r="AP2" s="6">
        <v>8111063</v>
      </c>
      <c r="AQ2" s="6">
        <v>7793840</v>
      </c>
      <c r="AR2" s="6">
        <v>7565461</v>
      </c>
      <c r="AS2" s="6">
        <v>6819411</v>
      </c>
      <c r="AT2" s="6">
        <v>6526880</v>
      </c>
      <c r="AU2" s="6">
        <v>6294877</v>
      </c>
      <c r="AV2" s="6">
        <v>7272160</v>
      </c>
      <c r="AW2" s="6">
        <v>7597203</v>
      </c>
      <c r="AX2" s="6">
        <v>8499544</v>
      </c>
      <c r="AY2" s="6">
        <v>9477926</v>
      </c>
      <c r="AZ2" s="6">
        <v>8928676</v>
      </c>
      <c r="BA2" s="6">
        <v>8601817</v>
      </c>
      <c r="BB2" s="6">
        <v>8305393</v>
      </c>
      <c r="BC2" s="6">
        <v>9137076</v>
      </c>
      <c r="BD2" s="6">
        <v>9924643</v>
      </c>
      <c r="BE2" s="6">
        <v>10787979</v>
      </c>
      <c r="BF2" s="6">
        <v>9522053</v>
      </c>
      <c r="BG2" s="6">
        <v>10763002</v>
      </c>
    </row>
    <row r="3" spans="1:59" x14ac:dyDescent="0.25">
      <c r="A3" s="5" t="s">
        <v>131</v>
      </c>
      <c r="B3" s="6">
        <v>5058727</v>
      </c>
      <c r="C3" s="6">
        <v>4671126</v>
      </c>
      <c r="D3" s="6">
        <v>4217842</v>
      </c>
      <c r="E3" s="6">
        <v>3675170</v>
      </c>
      <c r="F3" s="6">
        <v>3781622</v>
      </c>
      <c r="G3" s="6">
        <v>3223030</v>
      </c>
      <c r="H3" s="6">
        <v>3168474</v>
      </c>
      <c r="I3" s="6">
        <v>3108179</v>
      </c>
      <c r="J3" s="6">
        <v>3174903</v>
      </c>
      <c r="K3" s="6">
        <v>3086728</v>
      </c>
      <c r="L3" s="6">
        <v>3353513</v>
      </c>
      <c r="M3" s="6">
        <v>3316473</v>
      </c>
      <c r="N3" s="6">
        <v>3499680</v>
      </c>
      <c r="O3" s="6">
        <v>3236679</v>
      </c>
      <c r="P3" s="6">
        <v>3085915</v>
      </c>
      <c r="Q3" s="6">
        <v>3552818</v>
      </c>
      <c r="R3" s="6">
        <v>3768236</v>
      </c>
      <c r="S3" s="6">
        <v>4025142</v>
      </c>
      <c r="T3" s="6">
        <v>3981168</v>
      </c>
      <c r="U3" s="6">
        <v>3961531</v>
      </c>
      <c r="V3" s="6">
        <v>4401732</v>
      </c>
      <c r="W3" s="6">
        <v>4420839</v>
      </c>
      <c r="X3" s="6">
        <v>4164100</v>
      </c>
      <c r="Y3" s="6">
        <v>4607833</v>
      </c>
      <c r="Z3" s="6">
        <v>4980055</v>
      </c>
      <c r="AA3" s="6">
        <v>4916458</v>
      </c>
      <c r="AB3" s="6">
        <v>5677781</v>
      </c>
      <c r="AC3" s="6">
        <v>5576449</v>
      </c>
      <c r="AD3" s="6">
        <v>6002834</v>
      </c>
      <c r="AE3" s="6">
        <v>5864332</v>
      </c>
      <c r="AF3" s="6">
        <v>6272798</v>
      </c>
      <c r="AG3" s="6">
        <v>6628302</v>
      </c>
      <c r="AH3" s="6">
        <v>7004186</v>
      </c>
      <c r="AI3" s="6">
        <v>6630891</v>
      </c>
      <c r="AJ3" s="6">
        <v>7700905</v>
      </c>
      <c r="AK3" s="6">
        <v>7678930</v>
      </c>
      <c r="AL3" s="6">
        <v>8151158</v>
      </c>
      <c r="AM3" s="6">
        <v>8721445</v>
      </c>
      <c r="AN3" s="6">
        <v>9120277</v>
      </c>
      <c r="AO3" s="6">
        <v>9510371</v>
      </c>
      <c r="AP3" s="6">
        <v>10688076</v>
      </c>
      <c r="AQ3" s="6">
        <v>10563140</v>
      </c>
      <c r="AR3" s="6">
        <v>11251381</v>
      </c>
      <c r="AS3" s="6">
        <v>12250039</v>
      </c>
      <c r="AT3" s="6">
        <v>13732205</v>
      </c>
      <c r="AU3" s="6">
        <v>13997858</v>
      </c>
      <c r="AV3" s="6">
        <v>14532716</v>
      </c>
      <c r="AW3" s="6">
        <v>14444980</v>
      </c>
      <c r="AX3" s="6">
        <v>14507238</v>
      </c>
      <c r="AY3" s="6">
        <v>15348981</v>
      </c>
      <c r="AZ3" s="6">
        <v>15168282</v>
      </c>
      <c r="BA3" s="6">
        <v>15064961</v>
      </c>
      <c r="BB3" s="6">
        <v>14950024</v>
      </c>
      <c r="BC3" s="6">
        <v>16303607</v>
      </c>
      <c r="BD3" s="6">
        <v>17599575</v>
      </c>
      <c r="BE3" s="6">
        <v>19164244</v>
      </c>
      <c r="BF3" s="6">
        <v>19697005</v>
      </c>
      <c r="BG3" s="6">
        <v>22861342</v>
      </c>
    </row>
    <row r="4" spans="1:59" x14ac:dyDescent="0.25">
      <c r="A4" s="5" t="s">
        <v>132</v>
      </c>
      <c r="B4" s="6">
        <v>-3740407</v>
      </c>
      <c r="C4" s="6">
        <v>-3238826</v>
      </c>
      <c r="D4" s="6">
        <v>-2804128</v>
      </c>
      <c r="E4" s="6">
        <v>-2723929</v>
      </c>
      <c r="F4" s="6">
        <v>-2491596</v>
      </c>
      <c r="G4" s="6">
        <v>-2302487</v>
      </c>
      <c r="H4" s="6">
        <v>-2150263</v>
      </c>
      <c r="I4" s="6">
        <v>-2001297</v>
      </c>
      <c r="J4" s="6">
        <v>-1881120</v>
      </c>
      <c r="K4" s="6">
        <v>-1802858</v>
      </c>
      <c r="L4" s="6">
        <v>-1749410</v>
      </c>
      <c r="M4" s="6">
        <v>-1725599</v>
      </c>
      <c r="N4" s="6">
        <v>-1638015</v>
      </c>
      <c r="O4" s="6">
        <v>-1512212</v>
      </c>
      <c r="P4" s="6">
        <v>-1525727</v>
      </c>
      <c r="Q4" s="6">
        <v>-1491257</v>
      </c>
      <c r="R4" s="6">
        <v>-1751073</v>
      </c>
      <c r="S4" s="6">
        <v>-1827148</v>
      </c>
      <c r="T4" s="6">
        <v>-1968760</v>
      </c>
      <c r="U4" s="6">
        <v>-2046875</v>
      </c>
      <c r="V4" s="6">
        <v>-2215742</v>
      </c>
      <c r="W4" s="6">
        <v>-2200736</v>
      </c>
      <c r="X4" s="6">
        <v>-2108740</v>
      </c>
      <c r="Y4" s="6">
        <v>-2138874</v>
      </c>
      <c r="Z4" s="6">
        <v>-2433383</v>
      </c>
      <c r="AA4" s="6">
        <v>-2412512</v>
      </c>
      <c r="AB4" s="6">
        <v>-2560876</v>
      </c>
      <c r="AC4" s="6">
        <v>-2617437</v>
      </c>
      <c r="AD4" s="6">
        <v>-2643365</v>
      </c>
      <c r="AE4" s="6">
        <v>-2740307</v>
      </c>
      <c r="AF4" s="6">
        <v>-2650732</v>
      </c>
      <c r="AG4" s="6">
        <v>-2724093</v>
      </c>
      <c r="AH4" s="6">
        <v>-2791774</v>
      </c>
      <c r="AI4" s="6">
        <v>-2695513</v>
      </c>
      <c r="AJ4" s="6">
        <v>-2553225</v>
      </c>
      <c r="AK4" s="6">
        <v>-2184997</v>
      </c>
      <c r="AL4" s="6">
        <v>-2027437</v>
      </c>
      <c r="AM4" s="6">
        <v>-2133645</v>
      </c>
      <c r="AN4" s="6">
        <v>-2377788</v>
      </c>
      <c r="AO4" s="6">
        <v>-2265768</v>
      </c>
      <c r="AP4" s="6">
        <v>-2577013</v>
      </c>
      <c r="AQ4" s="6">
        <v>-2769300</v>
      </c>
      <c r="AR4" s="6">
        <v>-3685920</v>
      </c>
      <c r="AS4" s="6">
        <v>-5430628</v>
      </c>
      <c r="AT4" s="6">
        <v>-7205325</v>
      </c>
      <c r="AU4" s="6">
        <v>-7702981</v>
      </c>
      <c r="AV4" s="6">
        <v>-7260556</v>
      </c>
      <c r="AW4" s="6">
        <v>-6847777</v>
      </c>
      <c r="AX4" s="6">
        <v>-6007694</v>
      </c>
      <c r="AY4" s="6">
        <v>-5871055</v>
      </c>
      <c r="AZ4" s="6">
        <v>-6239606</v>
      </c>
      <c r="BA4" s="6">
        <v>-6463144</v>
      </c>
      <c r="BB4" s="6">
        <v>-6644631</v>
      </c>
      <c r="BC4" s="6">
        <v>-7166531</v>
      </c>
      <c r="BD4" s="6">
        <v>-7674932</v>
      </c>
      <c r="BE4" s="6">
        <v>-8376265</v>
      </c>
      <c r="BF4" s="6">
        <v>-10174952</v>
      </c>
      <c r="BG4" s="6">
        <v>-12098340</v>
      </c>
    </row>
    <row r="5" spans="1:59" x14ac:dyDescent="0.25">
      <c r="A5" s="3" t="s">
        <v>133</v>
      </c>
      <c r="B5" s="6">
        <v>147425</v>
      </c>
      <c r="C5" s="6">
        <v>227987</v>
      </c>
      <c r="D5" s="6">
        <v>151149</v>
      </c>
      <c r="E5" s="6">
        <v>38841</v>
      </c>
      <c r="F5" s="6">
        <v>122481</v>
      </c>
      <c r="G5" s="6">
        <v>244274</v>
      </c>
      <c r="H5" s="6">
        <v>151094</v>
      </c>
      <c r="I5" s="6">
        <v>218394</v>
      </c>
      <c r="J5" s="6">
        <v>435065</v>
      </c>
      <c r="K5" s="6">
        <v>215451</v>
      </c>
      <c r="L5" s="6">
        <v>240048</v>
      </c>
      <c r="M5" s="6">
        <v>232019</v>
      </c>
      <c r="N5" s="6">
        <v>218579</v>
      </c>
      <c r="O5" s="6">
        <v>232479</v>
      </c>
      <c r="P5" s="6">
        <v>337047</v>
      </c>
      <c r="Q5" s="6">
        <v>350870</v>
      </c>
      <c r="R5" s="6">
        <v>327509</v>
      </c>
      <c r="S5" s="6">
        <v>304167</v>
      </c>
      <c r="T5" s="6">
        <v>279550</v>
      </c>
      <c r="U5" s="6">
        <v>399572</v>
      </c>
      <c r="V5" s="6">
        <v>521859</v>
      </c>
      <c r="W5" s="6">
        <v>524484</v>
      </c>
      <c r="X5" s="6">
        <v>554191</v>
      </c>
      <c r="Y5" s="6">
        <v>2211368</v>
      </c>
      <c r="Z5" s="6">
        <v>491695</v>
      </c>
      <c r="AA5" s="6">
        <v>687924</v>
      </c>
      <c r="AB5" s="6">
        <v>932136</v>
      </c>
      <c r="AC5" s="6">
        <v>1422599</v>
      </c>
      <c r="AD5" s="6">
        <v>568869</v>
      </c>
      <c r="AE5" s="6">
        <v>830800</v>
      </c>
      <c r="AF5" s="6">
        <v>738126</v>
      </c>
      <c r="AG5" s="6">
        <v>1363633</v>
      </c>
      <c r="AH5" s="6">
        <v>862001</v>
      </c>
      <c r="AI5" s="6">
        <v>1112625</v>
      </c>
      <c r="AJ5" s="6">
        <v>1145018</v>
      </c>
      <c r="AK5" s="6">
        <v>1069134</v>
      </c>
      <c r="AL5" s="6">
        <v>1325072</v>
      </c>
      <c r="AM5" s="6">
        <v>1457082</v>
      </c>
      <c r="AN5" s="6">
        <v>1497039</v>
      </c>
      <c r="AO5" s="6">
        <v>2103047</v>
      </c>
      <c r="AP5" s="6">
        <v>1792727</v>
      </c>
      <c r="AQ5" s="6">
        <v>2077136</v>
      </c>
      <c r="AR5" s="6">
        <v>2123059</v>
      </c>
      <c r="AS5" s="6">
        <v>2534572</v>
      </c>
      <c r="AT5" s="6">
        <v>1944138</v>
      </c>
      <c r="AU5" s="6">
        <v>2019348</v>
      </c>
      <c r="AV5" s="6">
        <v>2255660</v>
      </c>
      <c r="AW5" s="6">
        <v>2495751</v>
      </c>
      <c r="AX5" s="6">
        <v>2171151</v>
      </c>
      <c r="AY5" s="6">
        <v>2461472</v>
      </c>
      <c r="AZ5" s="6">
        <v>1946783</v>
      </c>
      <c r="BA5" s="6">
        <v>1462842</v>
      </c>
      <c r="BB5" s="6">
        <v>1828132</v>
      </c>
      <c r="BC5" s="6">
        <v>2106991</v>
      </c>
      <c r="BD5" s="6">
        <v>2265937</v>
      </c>
      <c r="BE5" s="6">
        <v>2570935</v>
      </c>
      <c r="BF5" s="6">
        <v>3148457</v>
      </c>
      <c r="BG5" s="6">
        <v>3662198</v>
      </c>
    </row>
    <row r="6" spans="1:59" x14ac:dyDescent="0.25">
      <c r="A6" s="5" t="s">
        <v>134</v>
      </c>
      <c r="B6" s="6">
        <v>222854</v>
      </c>
      <c r="C6" s="6">
        <v>313926</v>
      </c>
      <c r="D6" s="6">
        <v>258904</v>
      </c>
      <c r="E6" s="6">
        <v>255600</v>
      </c>
      <c r="F6" s="6">
        <v>233743</v>
      </c>
      <c r="G6" s="6">
        <v>320029</v>
      </c>
      <c r="H6" s="6">
        <v>285720</v>
      </c>
      <c r="I6" s="6">
        <v>310546</v>
      </c>
      <c r="J6" s="6">
        <v>537926</v>
      </c>
      <c r="K6" s="6">
        <v>418163</v>
      </c>
      <c r="L6" s="6">
        <v>332440</v>
      </c>
      <c r="M6" s="6">
        <v>376876</v>
      </c>
      <c r="N6" s="6">
        <v>340884</v>
      </c>
      <c r="O6" s="6">
        <v>346875</v>
      </c>
      <c r="P6" s="6">
        <v>469807</v>
      </c>
      <c r="Q6" s="6">
        <v>527409</v>
      </c>
      <c r="R6" s="6">
        <v>435597</v>
      </c>
      <c r="S6" s="6">
        <v>436720</v>
      </c>
      <c r="T6" s="6">
        <v>420109</v>
      </c>
      <c r="U6" s="6">
        <v>622863</v>
      </c>
      <c r="V6" s="6">
        <v>643490</v>
      </c>
      <c r="W6" s="6">
        <v>705434</v>
      </c>
      <c r="X6" s="6">
        <v>746698</v>
      </c>
      <c r="Y6" s="6">
        <v>2424063</v>
      </c>
      <c r="Z6" s="6">
        <v>660317</v>
      </c>
      <c r="AA6" s="6">
        <v>869954</v>
      </c>
      <c r="AB6" s="6">
        <v>1171873</v>
      </c>
      <c r="AC6" s="6">
        <v>1750460</v>
      </c>
      <c r="AD6" s="6">
        <v>888172</v>
      </c>
      <c r="AE6" s="6">
        <v>1177837</v>
      </c>
      <c r="AF6" s="6">
        <v>1204502</v>
      </c>
      <c r="AG6" s="6">
        <v>1861972</v>
      </c>
      <c r="AH6" s="6">
        <v>1309379</v>
      </c>
      <c r="AI6" s="6">
        <v>1523122</v>
      </c>
      <c r="AJ6" s="6">
        <v>1586271</v>
      </c>
      <c r="AK6" s="6">
        <v>1652522</v>
      </c>
      <c r="AL6" s="6">
        <v>1706894</v>
      </c>
      <c r="AM6" s="6">
        <v>1934790</v>
      </c>
      <c r="AN6" s="6">
        <v>1921277</v>
      </c>
      <c r="AO6" s="6">
        <v>2695597</v>
      </c>
      <c r="AP6" s="6">
        <v>2397262</v>
      </c>
      <c r="AQ6" s="6">
        <v>2386902</v>
      </c>
      <c r="AR6" s="6">
        <v>2708827</v>
      </c>
      <c r="AS6" s="6">
        <v>3347346</v>
      </c>
      <c r="AT6" s="6">
        <v>2544212</v>
      </c>
      <c r="AU6" s="6">
        <v>2621676</v>
      </c>
      <c r="AV6" s="6">
        <v>3008697</v>
      </c>
      <c r="AW6" s="6">
        <v>3203500</v>
      </c>
      <c r="AX6" s="6">
        <v>2834555</v>
      </c>
      <c r="AY6" s="6">
        <v>3189894</v>
      </c>
      <c r="AZ6" s="6">
        <v>2675088</v>
      </c>
      <c r="BA6" s="6">
        <v>2262105</v>
      </c>
      <c r="BB6" s="6">
        <v>2578542</v>
      </c>
      <c r="BC6" s="6">
        <v>3052422</v>
      </c>
      <c r="BD6" s="6">
        <v>3276239</v>
      </c>
      <c r="BE6" s="6">
        <v>3619760</v>
      </c>
      <c r="BF6" s="6">
        <v>4292976</v>
      </c>
      <c r="BG6" s="6">
        <v>5004364</v>
      </c>
    </row>
    <row r="7" spans="1:59" x14ac:dyDescent="0.25">
      <c r="A7" s="5" t="s">
        <v>135</v>
      </c>
      <c r="B7" s="6">
        <v>-75429</v>
      </c>
      <c r="C7" s="6">
        <v>-85939</v>
      </c>
      <c r="D7" s="6">
        <v>-107755</v>
      </c>
      <c r="E7" s="6">
        <v>-216759</v>
      </c>
      <c r="F7" s="6">
        <v>-111262</v>
      </c>
      <c r="G7" s="6">
        <v>-75755</v>
      </c>
      <c r="H7" s="6">
        <v>-134626</v>
      </c>
      <c r="I7" s="6">
        <v>-92152</v>
      </c>
      <c r="J7" s="6">
        <v>-102861</v>
      </c>
      <c r="K7" s="6">
        <v>-202712</v>
      </c>
      <c r="L7" s="6">
        <v>-92392</v>
      </c>
      <c r="M7" s="6">
        <v>-144857</v>
      </c>
      <c r="N7" s="6">
        <v>-122305</v>
      </c>
      <c r="O7" s="6">
        <v>-114396</v>
      </c>
      <c r="P7" s="6">
        <v>-132760</v>
      </c>
      <c r="Q7" s="6">
        <v>-176539</v>
      </c>
      <c r="R7" s="6">
        <v>-108088</v>
      </c>
      <c r="S7" s="6">
        <v>-132553</v>
      </c>
      <c r="T7" s="6">
        <v>-140559</v>
      </c>
      <c r="U7" s="6">
        <v>-223291</v>
      </c>
      <c r="V7" s="6">
        <v>-121631</v>
      </c>
      <c r="W7" s="6">
        <v>-180950</v>
      </c>
      <c r="X7" s="6">
        <v>-192507</v>
      </c>
      <c r="Y7" s="6">
        <v>-212695</v>
      </c>
      <c r="Z7" s="6">
        <v>-168622</v>
      </c>
      <c r="AA7" s="6">
        <v>-182030</v>
      </c>
      <c r="AB7" s="6">
        <v>-239737</v>
      </c>
      <c r="AC7" s="6">
        <v>-327861</v>
      </c>
      <c r="AD7" s="6">
        <v>-319303</v>
      </c>
      <c r="AE7" s="6">
        <v>-347037</v>
      </c>
      <c r="AF7" s="6">
        <v>-466376</v>
      </c>
      <c r="AG7" s="6">
        <v>-498339</v>
      </c>
      <c r="AH7" s="6">
        <v>-447378</v>
      </c>
      <c r="AI7" s="6">
        <v>-410497</v>
      </c>
      <c r="AJ7" s="6">
        <v>-441253</v>
      </c>
      <c r="AK7" s="6">
        <v>-583388</v>
      </c>
      <c r="AL7" s="6">
        <v>-381822</v>
      </c>
      <c r="AM7" s="6">
        <f>AM5-AM6</f>
        <v>-477708</v>
      </c>
      <c r="AN7" s="6">
        <v>-424238</v>
      </c>
      <c r="AO7" s="6">
        <v>-592550</v>
      </c>
      <c r="AP7" s="6">
        <v>-604535</v>
      </c>
      <c r="AQ7" s="6">
        <v>-309766</v>
      </c>
      <c r="AR7" s="6">
        <v>-585768</v>
      </c>
      <c r="AS7" s="6">
        <v>-812774</v>
      </c>
      <c r="AT7" s="6">
        <v>-600074</v>
      </c>
      <c r="AU7" s="6">
        <v>-602328</v>
      </c>
      <c r="AV7" s="6">
        <v>-753037</v>
      </c>
      <c r="AW7" s="6">
        <v>-707749</v>
      </c>
      <c r="AX7" s="6">
        <v>-663404</v>
      </c>
      <c r="AY7" s="6">
        <v>-728422</v>
      </c>
      <c r="AZ7" s="6">
        <v>-728305</v>
      </c>
      <c r="BA7" s="6">
        <v>-799263</v>
      </c>
      <c r="BB7" s="6">
        <v>-750410</v>
      </c>
      <c r="BC7" s="6">
        <v>-945431</v>
      </c>
      <c r="BD7" s="6">
        <v>-1010302</v>
      </c>
      <c r="BE7" s="6">
        <v>-1048825</v>
      </c>
      <c r="BF7" s="6">
        <v>-1144519</v>
      </c>
      <c r="BG7" s="6">
        <v>-1342166</v>
      </c>
    </row>
    <row r="8" spans="1:59" x14ac:dyDescent="0.25">
      <c r="A8" s="11" t="s">
        <v>136</v>
      </c>
      <c r="B8" s="6">
        <v>18623</v>
      </c>
      <c r="C8" s="6">
        <v>-29850</v>
      </c>
      <c r="D8" s="6">
        <v>-46349</v>
      </c>
      <c r="E8" s="6">
        <v>-81288</v>
      </c>
      <c r="F8" s="6">
        <v>18060</v>
      </c>
      <c r="G8" s="6">
        <v>-61209</v>
      </c>
      <c r="H8" s="6">
        <v>-118346</v>
      </c>
      <c r="I8" s="6">
        <v>39994</v>
      </c>
      <c r="J8" s="6">
        <v>20575</v>
      </c>
      <c r="K8" s="6">
        <v>-21982</v>
      </c>
      <c r="L8" s="6">
        <v>7429</v>
      </c>
      <c r="M8" s="6">
        <v>16876</v>
      </c>
      <c r="N8" s="6">
        <v>-1587</v>
      </c>
      <c r="O8" s="6">
        <v>12460</v>
      </c>
      <c r="P8" s="6">
        <v>-89149</v>
      </c>
      <c r="Q8" s="6">
        <v>-113726</v>
      </c>
      <c r="R8" s="6">
        <v>74960</v>
      </c>
      <c r="S8" s="6">
        <v>12778</v>
      </c>
      <c r="T8" s="6">
        <v>73831</v>
      </c>
      <c r="U8" s="6">
        <v>78632</v>
      </c>
      <c r="V8" s="6">
        <v>88836</v>
      </c>
      <c r="W8" s="6">
        <v>30347</v>
      </c>
      <c r="X8" s="6">
        <v>84240</v>
      </c>
      <c r="Y8" s="6">
        <v>75162</v>
      </c>
      <c r="Z8" s="6">
        <v>45317</v>
      </c>
      <c r="AA8" s="6">
        <v>152927</v>
      </c>
      <c r="AB8" s="6">
        <v>48455</v>
      </c>
      <c r="AC8" s="6">
        <v>-12948</v>
      </c>
      <c r="AD8" s="6">
        <v>9162</v>
      </c>
      <c r="AE8" s="6">
        <v>110905</v>
      </c>
      <c r="AF8" s="6">
        <v>18069</v>
      </c>
      <c r="AG8" s="6">
        <v>-33555</v>
      </c>
      <c r="AH8" s="6">
        <v>-28303</v>
      </c>
      <c r="AI8" s="6">
        <v>-30213</v>
      </c>
      <c r="AJ8" s="6">
        <v>45850</v>
      </c>
      <c r="AK8" s="6">
        <v>13411</v>
      </c>
      <c r="AL8" s="6">
        <v>65621</v>
      </c>
      <c r="AM8" s="6">
        <v>100254</v>
      </c>
      <c r="AN8" s="6">
        <v>93418</v>
      </c>
      <c r="AO8" s="6">
        <v>-27843</v>
      </c>
      <c r="AP8" s="6">
        <v>34072</v>
      </c>
      <c r="AQ8" s="6">
        <v>-32801</v>
      </c>
      <c r="AR8" s="6">
        <v>27677</v>
      </c>
      <c r="AS8" s="6">
        <v>-304011</v>
      </c>
      <c r="AT8" s="6">
        <v>-229420</v>
      </c>
      <c r="AU8" s="6">
        <v>-11153</v>
      </c>
      <c r="AV8" s="6">
        <v>123789</v>
      </c>
      <c r="AW8" s="6">
        <v>312534</v>
      </c>
      <c r="AX8" s="6">
        <v>544434</v>
      </c>
      <c r="AY8" s="6">
        <v>411351</v>
      </c>
      <c r="AZ8" s="6">
        <v>61041</v>
      </c>
      <c r="BA8" s="6">
        <v>-424270</v>
      </c>
      <c r="BB8" s="6">
        <v>454811</v>
      </c>
      <c r="BC8" s="6">
        <v>415158</v>
      </c>
      <c r="BD8" s="6">
        <v>559414</v>
      </c>
      <c r="BE8" s="6">
        <v>212818</v>
      </c>
      <c r="BF8" s="6">
        <v>583817</v>
      </c>
      <c r="BG8" s="6">
        <v>-68527</v>
      </c>
    </row>
    <row r="9" spans="1:59" x14ac:dyDescent="0.25">
      <c r="A9" s="11" t="s">
        <v>137</v>
      </c>
      <c r="B9" s="6">
        <v>86015</v>
      </c>
      <c r="C9" s="6">
        <v>-57389</v>
      </c>
      <c r="D9" s="6">
        <v>-44754</v>
      </c>
      <c r="E9" s="6">
        <v>18829</v>
      </c>
      <c r="F9" s="6">
        <v>36508</v>
      </c>
      <c r="G9" s="6">
        <v>49755</v>
      </c>
      <c r="H9" s="6">
        <v>13473</v>
      </c>
      <c r="I9" s="6">
        <v>-6010</v>
      </c>
      <c r="J9" s="6">
        <v>40145</v>
      </c>
      <c r="K9" s="6">
        <v>-25147</v>
      </c>
      <c r="L9" s="6">
        <v>58104</v>
      </c>
      <c r="M9" s="6">
        <v>24125</v>
      </c>
      <c r="N9" s="6">
        <v>62213</v>
      </c>
      <c r="O9" s="6">
        <v>48292</v>
      </c>
      <c r="P9" s="6">
        <v>66508</v>
      </c>
      <c r="Q9" s="6">
        <v>126564</v>
      </c>
      <c r="R9" s="6">
        <v>71870</v>
      </c>
      <c r="S9" s="6">
        <v>78496</v>
      </c>
      <c r="T9" s="6">
        <v>106461</v>
      </c>
      <c r="U9" s="6">
        <v>49997</v>
      </c>
      <c r="V9" s="6">
        <v>174589</v>
      </c>
      <c r="W9" s="6">
        <v>105023</v>
      </c>
      <c r="X9" s="6">
        <v>94686</v>
      </c>
      <c r="Y9" s="6">
        <v>22432</v>
      </c>
      <c r="Z9" s="6">
        <v>10562</v>
      </c>
      <c r="AA9" s="6">
        <v>-12145</v>
      </c>
      <c r="AB9" s="6">
        <v>116620</v>
      </c>
      <c r="AC9" s="6">
        <v>53396</v>
      </c>
      <c r="AD9" s="6">
        <v>84597</v>
      </c>
      <c r="AE9" s="6">
        <v>69254</v>
      </c>
      <c r="AF9" s="6">
        <v>111482</v>
      </c>
      <c r="AG9" s="6">
        <v>132331</v>
      </c>
      <c r="AH9" s="6">
        <v>73326</v>
      </c>
      <c r="AI9" s="6">
        <v>92559</v>
      </c>
      <c r="AJ9" s="6">
        <v>127725</v>
      </c>
      <c r="AK9" s="6">
        <v>27787</v>
      </c>
      <c r="AL9" s="6">
        <v>134965</v>
      </c>
      <c r="AM9" s="6">
        <v>61654</v>
      </c>
      <c r="AN9" s="6">
        <v>-15779</v>
      </c>
      <c r="AO9" s="6">
        <v>-28535</v>
      </c>
      <c r="AP9" s="6">
        <v>-95678</v>
      </c>
      <c r="AQ9" s="6">
        <v>-152679</v>
      </c>
      <c r="AR9" s="6">
        <v>17771</v>
      </c>
      <c r="AS9" s="6">
        <v>-11259</v>
      </c>
      <c r="AT9" s="6">
        <v>29267</v>
      </c>
      <c r="AU9" s="6">
        <v>8707</v>
      </c>
      <c r="AV9" s="6">
        <v>-5587</v>
      </c>
      <c r="AW9" s="6">
        <v>32233</v>
      </c>
      <c r="AX9" s="6">
        <v>-23405</v>
      </c>
      <c r="AY9" s="6">
        <v>103232</v>
      </c>
      <c r="AZ9" s="4">
        <v>-527</v>
      </c>
      <c r="BA9" s="6">
        <v>2001</v>
      </c>
      <c r="BB9" s="6">
        <v>178426</v>
      </c>
      <c r="BC9" s="6">
        <v>31979</v>
      </c>
      <c r="BD9" s="6">
        <v>-149808</v>
      </c>
      <c r="BE9" s="6">
        <v>-8623</v>
      </c>
      <c r="BF9" s="6">
        <v>42771</v>
      </c>
      <c r="BG9" s="6">
        <v>28494</v>
      </c>
    </row>
    <row r="10" spans="1:59" x14ac:dyDescent="0.25">
      <c r="A10" s="11" t="s">
        <v>138</v>
      </c>
      <c r="B10" s="6">
        <v>9018</v>
      </c>
      <c r="C10" s="6">
        <v>-51025</v>
      </c>
      <c r="D10" s="6">
        <v>-109865</v>
      </c>
      <c r="E10" s="6">
        <v>-23171</v>
      </c>
      <c r="F10" s="6">
        <v>21655</v>
      </c>
      <c r="G10" s="6">
        <v>92415</v>
      </c>
      <c r="H10" s="6">
        <v>83229</v>
      </c>
      <c r="I10" s="6">
        <v>-36389</v>
      </c>
      <c r="J10" s="6">
        <v>30382</v>
      </c>
      <c r="K10" s="6">
        <v>38532</v>
      </c>
      <c r="L10" s="6">
        <v>71908</v>
      </c>
      <c r="M10" s="6">
        <v>-63168</v>
      </c>
      <c r="N10" s="6">
        <v>158744</v>
      </c>
      <c r="O10" s="6">
        <v>-82632</v>
      </c>
      <c r="P10" s="6">
        <v>-36791</v>
      </c>
      <c r="Q10" s="6">
        <v>-191550</v>
      </c>
      <c r="R10" s="6">
        <v>71122</v>
      </c>
      <c r="S10" s="6">
        <v>81476</v>
      </c>
      <c r="T10" s="6">
        <v>36462</v>
      </c>
      <c r="U10" s="6">
        <v>110353</v>
      </c>
      <c r="V10" s="6">
        <v>448598</v>
      </c>
      <c r="W10" s="6">
        <v>-254513</v>
      </c>
      <c r="X10" s="6">
        <v>300067</v>
      </c>
      <c r="Y10" s="6">
        <v>361608</v>
      </c>
      <c r="Z10" s="6">
        <v>441802</v>
      </c>
      <c r="AA10" s="6">
        <v>301222</v>
      </c>
      <c r="AB10" s="6">
        <v>-39389</v>
      </c>
      <c r="AC10" s="6">
        <v>52930</v>
      </c>
      <c r="AD10" s="6">
        <v>63970</v>
      </c>
      <c r="AE10" s="6">
        <v>86393</v>
      </c>
      <c r="AF10" s="6">
        <v>445702</v>
      </c>
      <c r="AG10" s="6">
        <v>647694</v>
      </c>
      <c r="AH10" s="6">
        <v>557197</v>
      </c>
      <c r="AI10" s="6">
        <v>235223</v>
      </c>
      <c r="AJ10" s="6">
        <v>203813</v>
      </c>
      <c r="AK10" s="6">
        <v>500764</v>
      </c>
      <c r="AL10" s="6">
        <v>611531</v>
      </c>
      <c r="AM10" s="6">
        <v>554701</v>
      </c>
      <c r="AN10" s="6">
        <v>306408</v>
      </c>
      <c r="AO10" s="6">
        <v>331768</v>
      </c>
      <c r="AP10" s="6">
        <v>-218698</v>
      </c>
      <c r="AQ10" s="6">
        <v>593985</v>
      </c>
      <c r="AR10" s="6">
        <v>156659</v>
      </c>
      <c r="AS10" s="6">
        <v>-106393</v>
      </c>
      <c r="AT10" s="6">
        <v>-30632</v>
      </c>
      <c r="AU10" s="6">
        <v>74200</v>
      </c>
      <c r="AV10" s="6">
        <v>634737</v>
      </c>
      <c r="AW10" s="6">
        <v>247528</v>
      </c>
      <c r="AX10" s="6">
        <v>1073030</v>
      </c>
      <c r="AY10" s="6">
        <v>646934</v>
      </c>
      <c r="AZ10" s="6">
        <v>389242</v>
      </c>
      <c r="BA10" s="6">
        <v>249851</v>
      </c>
      <c r="BB10" s="6">
        <v>450449</v>
      </c>
      <c r="BC10" s="6">
        <v>599870</v>
      </c>
      <c r="BD10" s="6">
        <v>1059359</v>
      </c>
      <c r="BE10" s="6">
        <v>736643</v>
      </c>
      <c r="BF10" s="6">
        <v>238735</v>
      </c>
      <c r="BG10" s="6">
        <v>81770</v>
      </c>
    </row>
    <row r="11" spans="1:59" x14ac:dyDescent="0.25">
      <c r="A11" s="3" t="s">
        <v>139</v>
      </c>
      <c r="B11" s="6">
        <v>265956</v>
      </c>
      <c r="C11" s="6">
        <v>-193844</v>
      </c>
      <c r="D11" s="6">
        <v>8750</v>
      </c>
      <c r="E11" s="6">
        <v>265693</v>
      </c>
      <c r="F11" s="6">
        <v>131887</v>
      </c>
      <c r="G11" s="6">
        <v>125048</v>
      </c>
      <c r="H11" s="6">
        <v>121217</v>
      </c>
      <c r="I11" s="6">
        <v>35981</v>
      </c>
      <c r="J11" s="6">
        <v>-278760</v>
      </c>
      <c r="K11" s="6">
        <v>52692</v>
      </c>
      <c r="L11" s="6">
        <v>92150</v>
      </c>
      <c r="M11" s="6">
        <v>142365</v>
      </c>
      <c r="N11" s="6">
        <v>327260</v>
      </c>
      <c r="O11" s="6">
        <v>202137</v>
      </c>
      <c r="P11" s="6">
        <v>262051</v>
      </c>
      <c r="Q11" s="6">
        <v>248405</v>
      </c>
      <c r="R11" s="6">
        <v>600549</v>
      </c>
      <c r="S11" s="6">
        <v>161322</v>
      </c>
      <c r="T11" s="6">
        <v>305249</v>
      </c>
      <c r="U11" s="6">
        <v>577642</v>
      </c>
      <c r="V11" s="6">
        <v>233230</v>
      </c>
      <c r="W11" s="6">
        <v>531227</v>
      </c>
      <c r="X11" s="6">
        <v>303219</v>
      </c>
      <c r="Y11" s="6">
        <v>647215</v>
      </c>
      <c r="Z11" s="6">
        <v>229304</v>
      </c>
      <c r="AA11" s="6">
        <v>363797</v>
      </c>
      <c r="AB11" s="6">
        <v>460416</v>
      </c>
      <c r="AC11" s="6">
        <v>580376</v>
      </c>
      <c r="AD11" s="6">
        <v>308527</v>
      </c>
      <c r="AE11" s="6">
        <v>466226</v>
      </c>
      <c r="AF11" s="6">
        <v>419130</v>
      </c>
      <c r="AG11" s="6">
        <v>612845</v>
      </c>
      <c r="AH11" s="6">
        <v>353831</v>
      </c>
      <c r="AI11" s="6">
        <v>407756</v>
      </c>
      <c r="AJ11" s="6">
        <v>826528</v>
      </c>
      <c r="AK11" s="6">
        <v>652859</v>
      </c>
      <c r="AL11" s="6">
        <v>671271</v>
      </c>
      <c r="AM11" s="6">
        <v>444451</v>
      </c>
      <c r="AN11" s="6">
        <v>155554</v>
      </c>
      <c r="AO11" s="6">
        <v>531970</v>
      </c>
      <c r="AP11" s="6">
        <v>488499</v>
      </c>
      <c r="AQ11" s="6">
        <v>753932</v>
      </c>
      <c r="AR11" s="6">
        <v>441326</v>
      </c>
      <c r="AS11" s="6">
        <v>494972</v>
      </c>
      <c r="AT11" s="6">
        <v>1057099</v>
      </c>
      <c r="AU11" s="6">
        <v>939161</v>
      </c>
      <c r="AV11" s="6">
        <v>129284</v>
      </c>
      <c r="AW11" s="6">
        <v>308572</v>
      </c>
      <c r="AX11" s="6">
        <v>-3024</v>
      </c>
      <c r="AY11" s="6">
        <v>260730</v>
      </c>
      <c r="AZ11" s="6">
        <v>422714</v>
      </c>
      <c r="BA11" s="6">
        <v>-337709</v>
      </c>
      <c r="BB11" s="6">
        <v>393944</v>
      </c>
      <c r="BC11" s="6">
        <v>420439</v>
      </c>
      <c r="BD11" s="6">
        <v>576241</v>
      </c>
      <c r="BE11" s="6">
        <v>493718</v>
      </c>
      <c r="BF11" s="6">
        <v>138499</v>
      </c>
      <c r="BG11" s="6">
        <v>469945</v>
      </c>
    </row>
    <row r="12" spans="1:59" x14ac:dyDescent="0.25">
      <c r="A12" s="5" t="s">
        <v>140</v>
      </c>
      <c r="B12" s="6">
        <v>316659</v>
      </c>
      <c r="C12" s="6">
        <v>-114105</v>
      </c>
      <c r="D12" s="6">
        <v>141423</v>
      </c>
      <c r="E12" s="6">
        <v>1424007</v>
      </c>
      <c r="F12" s="6">
        <v>239881</v>
      </c>
      <c r="G12" s="6">
        <v>157447</v>
      </c>
      <c r="H12" s="6">
        <v>160821</v>
      </c>
      <c r="I12" s="6">
        <v>183129</v>
      </c>
      <c r="J12" s="6">
        <v>138768</v>
      </c>
      <c r="K12" s="6">
        <v>212996</v>
      </c>
      <c r="L12" s="6">
        <v>260367</v>
      </c>
      <c r="M12" s="6">
        <v>373791</v>
      </c>
      <c r="N12" s="6">
        <v>519638</v>
      </c>
      <c r="O12" s="6">
        <v>672902</v>
      </c>
      <c r="P12" s="6">
        <v>771950</v>
      </c>
      <c r="Q12" s="6">
        <v>345355</v>
      </c>
      <c r="R12" s="6">
        <v>699879</v>
      </c>
      <c r="S12" s="6">
        <v>286853</v>
      </c>
      <c r="T12" s="6">
        <v>514740</v>
      </c>
      <c r="U12" s="6">
        <v>802151</v>
      </c>
      <c r="V12" s="6">
        <v>271433</v>
      </c>
      <c r="W12" s="6">
        <v>578639</v>
      </c>
      <c r="X12" s="6">
        <v>400123</v>
      </c>
      <c r="Y12" s="6">
        <v>713230</v>
      </c>
      <c r="Z12" s="6">
        <v>370198</v>
      </c>
      <c r="AA12" s="6">
        <v>549731</v>
      </c>
      <c r="AB12" s="6">
        <v>875759</v>
      </c>
      <c r="AC12" s="6">
        <v>1351481</v>
      </c>
      <c r="AD12" s="6">
        <v>990402</v>
      </c>
      <c r="AE12" s="6">
        <v>965478</v>
      </c>
      <c r="AF12" s="6">
        <v>978914</v>
      </c>
      <c r="AG12" s="6">
        <v>1490285</v>
      </c>
      <c r="AH12" s="6">
        <v>1172031</v>
      </c>
      <c r="AI12" s="6">
        <v>1269814</v>
      </c>
      <c r="AJ12" s="6">
        <v>1653429</v>
      </c>
      <c r="AK12" s="6">
        <v>1351698</v>
      </c>
      <c r="AL12" s="6">
        <v>1291294</v>
      </c>
      <c r="AM12" s="6">
        <v>1066834</v>
      </c>
      <c r="AN12" s="6">
        <v>933055</v>
      </c>
      <c r="AO12" s="6">
        <v>1052548</v>
      </c>
      <c r="AP12" s="6">
        <v>972806</v>
      </c>
      <c r="AQ12" s="6">
        <v>1295430</v>
      </c>
      <c r="AR12" s="6">
        <v>1135827</v>
      </c>
      <c r="AS12" s="6">
        <v>1107240</v>
      </c>
      <c r="AT12" s="6">
        <v>2858105</v>
      </c>
      <c r="AU12" s="6">
        <v>1657903</v>
      </c>
      <c r="AV12" s="6">
        <v>719642</v>
      </c>
      <c r="AW12" s="6">
        <v>1224044</v>
      </c>
      <c r="AX12" s="6">
        <v>1486753</v>
      </c>
      <c r="AY12" s="6">
        <v>1967716</v>
      </c>
      <c r="AZ12" s="6">
        <v>1986320</v>
      </c>
      <c r="BA12" s="6">
        <v>3884139</v>
      </c>
      <c r="BB12" s="6">
        <v>1741899</v>
      </c>
      <c r="BC12" s="6">
        <v>1730032</v>
      </c>
      <c r="BD12" s="6">
        <v>1703996</v>
      </c>
      <c r="BE12" s="6">
        <v>1250407</v>
      </c>
      <c r="BF12" s="6">
        <v>989740</v>
      </c>
      <c r="BG12" s="6">
        <v>2105280</v>
      </c>
    </row>
    <row r="13" spans="1:59" x14ac:dyDescent="0.25">
      <c r="A13" s="5" t="s">
        <v>141</v>
      </c>
      <c r="B13" s="6">
        <v>-50703</v>
      </c>
      <c r="C13" s="6">
        <v>-79739</v>
      </c>
      <c r="D13" s="6">
        <v>-132673</v>
      </c>
      <c r="E13" s="6">
        <v>-1158314</v>
      </c>
      <c r="F13" s="6">
        <v>-107994</v>
      </c>
      <c r="G13" s="6">
        <v>-32399</v>
      </c>
      <c r="H13" s="6">
        <v>-39604</v>
      </c>
      <c r="I13" s="6">
        <v>-147148</v>
      </c>
      <c r="J13" s="6">
        <v>-417528</v>
      </c>
      <c r="K13" s="6">
        <v>-160304</v>
      </c>
      <c r="L13" s="6">
        <v>-168217</v>
      </c>
      <c r="M13" s="6">
        <v>-231426</v>
      </c>
      <c r="N13" s="6">
        <v>-192378</v>
      </c>
      <c r="O13" s="6">
        <v>-470765</v>
      </c>
      <c r="P13" s="6">
        <v>-509899</v>
      </c>
      <c r="Q13" s="6">
        <v>-96950</v>
      </c>
      <c r="R13" s="6">
        <v>-99330</v>
      </c>
      <c r="S13" s="6">
        <v>-125531</v>
      </c>
      <c r="T13" s="6">
        <v>-209491</v>
      </c>
      <c r="U13" s="6">
        <v>-224509</v>
      </c>
      <c r="V13" s="6">
        <v>-38203</v>
      </c>
      <c r="W13" s="6">
        <v>-47412</v>
      </c>
      <c r="X13" s="6">
        <v>-96904</v>
      </c>
      <c r="Y13" s="6">
        <v>-66015</v>
      </c>
      <c r="Z13" s="6">
        <v>-140894</v>
      </c>
      <c r="AA13" s="6">
        <v>-185934</v>
      </c>
      <c r="AB13" s="6">
        <v>-415343</v>
      </c>
      <c r="AC13" s="6">
        <v>-771105</v>
      </c>
      <c r="AD13" s="6">
        <v>-681875</v>
      </c>
      <c r="AE13" s="6">
        <v>-499252</v>
      </c>
      <c r="AF13" s="6">
        <v>-559784</v>
      </c>
      <c r="AG13" s="6">
        <v>-877440</v>
      </c>
      <c r="AH13" s="6">
        <v>-818200</v>
      </c>
      <c r="AI13" s="6">
        <v>-862058</v>
      </c>
      <c r="AJ13" s="6">
        <v>-826901</v>
      </c>
      <c r="AK13" s="6">
        <v>-698839</v>
      </c>
      <c r="AL13" s="6">
        <v>-620023</v>
      </c>
      <c r="AM13" s="6">
        <v>-622383</v>
      </c>
      <c r="AN13" s="6">
        <v>-777501</v>
      </c>
      <c r="AO13" s="6">
        <v>-520578</v>
      </c>
      <c r="AP13" s="6">
        <v>-484307</v>
      </c>
      <c r="AQ13" s="6">
        <v>-541498</v>
      </c>
      <c r="AR13" s="6">
        <v>-694501</v>
      </c>
      <c r="AS13" s="6">
        <v>-612268</v>
      </c>
      <c r="AT13" s="6">
        <v>-1801006</v>
      </c>
      <c r="AU13" s="6">
        <v>-718742</v>
      </c>
      <c r="AV13" s="6">
        <v>-590358</v>
      </c>
      <c r="AW13" s="6">
        <v>-915472</v>
      </c>
      <c r="AX13" s="6">
        <v>-1489777</v>
      </c>
      <c r="AY13" s="6">
        <v>-1706986</v>
      </c>
      <c r="AZ13" s="6">
        <v>-1563606</v>
      </c>
      <c r="BA13" s="6">
        <v>-4221848</v>
      </c>
      <c r="BB13" s="6">
        <v>-1347955</v>
      </c>
      <c r="BC13" s="6">
        <v>-1309593</v>
      </c>
      <c r="BD13" s="6">
        <v>-1127755</v>
      </c>
      <c r="BE13" s="6">
        <v>-756689</v>
      </c>
      <c r="BF13" s="6">
        <v>-851241</v>
      </c>
      <c r="BG13" s="6">
        <v>-1635335</v>
      </c>
    </row>
    <row r="14" spans="1:59" x14ac:dyDescent="0.25">
      <c r="A14" s="11" t="s">
        <v>142</v>
      </c>
      <c r="B14" s="6">
        <v>5962</v>
      </c>
      <c r="C14" s="6">
        <v>18784</v>
      </c>
      <c r="D14" s="4">
        <v>156</v>
      </c>
      <c r="E14" s="6">
        <v>5090</v>
      </c>
      <c r="F14" s="6">
        <v>6007</v>
      </c>
      <c r="G14" s="6">
        <v>8319</v>
      </c>
      <c r="H14" s="6">
        <v>14141</v>
      </c>
      <c r="I14" s="4">
        <v>196</v>
      </c>
      <c r="J14" s="4">
        <v>552</v>
      </c>
      <c r="K14" s="6">
        <v>1467</v>
      </c>
      <c r="L14" s="6">
        <v>2974</v>
      </c>
      <c r="M14" s="4">
        <v>0</v>
      </c>
      <c r="N14" s="4">
        <v>857</v>
      </c>
      <c r="O14" s="6">
        <v>8299</v>
      </c>
      <c r="P14" s="4">
        <v>0</v>
      </c>
      <c r="Q14" s="6">
        <v>1659</v>
      </c>
      <c r="R14" s="4">
        <v>80</v>
      </c>
      <c r="S14" s="4">
        <v>390</v>
      </c>
      <c r="T14" s="4">
        <v>0</v>
      </c>
      <c r="U14" s="4"/>
      <c r="V14" s="4"/>
      <c r="W14" s="6">
        <v>355192</v>
      </c>
      <c r="X14" s="4">
        <v>271</v>
      </c>
      <c r="Y14" s="4">
        <v>63</v>
      </c>
      <c r="Z14" s="6">
        <v>894428</v>
      </c>
      <c r="AA14" s="4">
        <v>275</v>
      </c>
      <c r="AB14" s="4">
        <v>0</v>
      </c>
      <c r="AC14" s="4">
        <v>0</v>
      </c>
      <c r="AD14" s="4">
        <v>34</v>
      </c>
      <c r="AE14" s="4">
        <v>146</v>
      </c>
      <c r="AF14" s="6">
        <v>4016</v>
      </c>
      <c r="AG14" s="4">
        <v>20</v>
      </c>
      <c r="AH14" s="4">
        <v>0</v>
      </c>
      <c r="AI14" s="4">
        <v>39</v>
      </c>
      <c r="AJ14" s="4">
        <v>150</v>
      </c>
      <c r="AK14" s="6">
        <v>4002</v>
      </c>
      <c r="AL14" s="4">
        <v>21</v>
      </c>
      <c r="AM14" s="4">
        <v>21</v>
      </c>
      <c r="AN14" s="4">
        <v>20</v>
      </c>
      <c r="AO14" s="6">
        <v>4001</v>
      </c>
      <c r="AP14" s="4">
        <v>51</v>
      </c>
      <c r="AQ14" s="6">
        <v>2295</v>
      </c>
      <c r="AR14" s="6">
        <v>6415</v>
      </c>
      <c r="AS14" s="4">
        <v>30</v>
      </c>
      <c r="AT14" s="6">
        <v>2642</v>
      </c>
      <c r="AU14" s="4">
        <v>31</v>
      </c>
      <c r="AV14" s="6">
        <v>8450</v>
      </c>
      <c r="AW14" s="6">
        <v>23633</v>
      </c>
      <c r="AX14" s="4">
        <v>37</v>
      </c>
      <c r="AY14" s="6">
        <v>58051</v>
      </c>
      <c r="AZ14" s="6">
        <v>6406</v>
      </c>
      <c r="BA14" s="4">
        <v>67</v>
      </c>
      <c r="BB14" s="4">
        <v>43</v>
      </c>
      <c r="BC14" s="6">
        <v>31518</v>
      </c>
      <c r="BD14" s="6">
        <v>6337</v>
      </c>
      <c r="BE14" s="6">
        <v>1303</v>
      </c>
      <c r="BF14" s="4">
        <v>-58</v>
      </c>
      <c r="BG14" s="6">
        <v>4899</v>
      </c>
    </row>
    <row r="15" spans="1:59" x14ac:dyDescent="0.25">
      <c r="A15" s="11" t="s">
        <v>143</v>
      </c>
      <c r="B15" s="6">
        <v>-825826</v>
      </c>
      <c r="C15" s="6">
        <v>-574277</v>
      </c>
      <c r="D15" s="6">
        <v>-614786</v>
      </c>
      <c r="E15" s="6">
        <v>-1263207</v>
      </c>
      <c r="F15" s="6">
        <v>-912386</v>
      </c>
      <c r="G15" s="6">
        <v>-770788</v>
      </c>
      <c r="H15" s="6">
        <v>-872972</v>
      </c>
      <c r="I15" s="6">
        <v>-799519</v>
      </c>
      <c r="J15" s="6">
        <v>-789929</v>
      </c>
      <c r="K15" s="6">
        <v>-776290</v>
      </c>
      <c r="L15" s="6">
        <v>-765986</v>
      </c>
      <c r="M15" s="6">
        <v>-1098840</v>
      </c>
      <c r="N15" s="6">
        <v>-831569</v>
      </c>
      <c r="O15" s="6">
        <v>-798700</v>
      </c>
      <c r="P15" s="6">
        <v>-904587</v>
      </c>
      <c r="Q15" s="6">
        <v>-1161149</v>
      </c>
      <c r="R15" s="6">
        <v>-981762</v>
      </c>
      <c r="S15" s="6">
        <v>-927053</v>
      </c>
      <c r="T15" s="6">
        <v>-1094949</v>
      </c>
      <c r="U15" s="6">
        <v>-1281923</v>
      </c>
      <c r="V15" s="6">
        <v>-1058054</v>
      </c>
      <c r="W15" s="6">
        <v>-993978</v>
      </c>
      <c r="X15" s="6">
        <v>-1128646</v>
      </c>
      <c r="Y15" s="6">
        <v>-1517605</v>
      </c>
      <c r="Z15" s="6">
        <v>-1267035</v>
      </c>
      <c r="AA15" s="6">
        <v>-1150302</v>
      </c>
      <c r="AB15" s="6">
        <v>-1314671</v>
      </c>
      <c r="AC15" s="6">
        <v>-2108849</v>
      </c>
      <c r="AD15" s="6">
        <v>-1610310</v>
      </c>
      <c r="AE15" s="6">
        <v>-1571063</v>
      </c>
      <c r="AF15" s="6">
        <v>-1794313</v>
      </c>
      <c r="AG15" s="6">
        <v>-2336823</v>
      </c>
      <c r="AH15" s="6">
        <v>-2137714</v>
      </c>
      <c r="AI15" s="6">
        <v>-1697493</v>
      </c>
      <c r="AJ15" s="6">
        <v>-2489180</v>
      </c>
      <c r="AK15" s="6">
        <v>-2306767</v>
      </c>
      <c r="AL15" s="6">
        <v>-2563083</v>
      </c>
      <c r="AM15" s="6">
        <v>-2590526</v>
      </c>
      <c r="AN15" s="6">
        <v>-2627889</v>
      </c>
      <c r="AO15" s="6">
        <v>-3391848</v>
      </c>
      <c r="AP15" s="6">
        <v>-3108320</v>
      </c>
      <c r="AQ15" s="6">
        <v>-3297191</v>
      </c>
      <c r="AR15" s="6">
        <v>-3014021</v>
      </c>
      <c r="AS15" s="6">
        <v>-3989840</v>
      </c>
      <c r="AT15" s="6">
        <v>-3142086</v>
      </c>
      <c r="AU15" s="6">
        <v>-2868890</v>
      </c>
      <c r="AV15" s="6">
        <v>-3630731</v>
      </c>
      <c r="AW15" s="6">
        <v>-3610089</v>
      </c>
      <c r="AX15" s="6">
        <v>-3249136</v>
      </c>
      <c r="AY15" s="6">
        <v>-3948974</v>
      </c>
      <c r="AZ15" s="6">
        <v>-3430902</v>
      </c>
      <c r="BA15" s="6">
        <v>-4740723</v>
      </c>
      <c r="BB15" s="6">
        <v>-3284915</v>
      </c>
      <c r="BC15" s="6">
        <v>-3830693</v>
      </c>
      <c r="BD15" s="6">
        <v>-4492851</v>
      </c>
      <c r="BE15" s="6">
        <v>-4823975</v>
      </c>
      <c r="BF15" s="6">
        <v>-3869012</v>
      </c>
      <c r="BG15" s="6">
        <v>-4620127</v>
      </c>
    </row>
    <row r="16" spans="1:59" x14ac:dyDescent="0.25">
      <c r="A16" s="11" t="s">
        <v>144</v>
      </c>
      <c r="B16" s="6">
        <v>1025493</v>
      </c>
      <c r="C16" s="6">
        <v>772686</v>
      </c>
      <c r="D16" s="6">
        <v>758015</v>
      </c>
      <c r="E16" s="6">
        <v>-87972</v>
      </c>
      <c r="F16" s="6">
        <v>714238</v>
      </c>
      <c r="G16" s="6">
        <v>608357</v>
      </c>
      <c r="H16" s="6">
        <v>410047</v>
      </c>
      <c r="I16" s="6">
        <v>559529</v>
      </c>
      <c r="J16" s="6">
        <v>751813</v>
      </c>
      <c r="K16" s="6">
        <v>768593</v>
      </c>
      <c r="L16" s="6">
        <v>1310730</v>
      </c>
      <c r="M16" s="6">
        <v>844251</v>
      </c>
      <c r="N16" s="6">
        <v>1796162</v>
      </c>
      <c r="O16" s="6">
        <v>1346802</v>
      </c>
      <c r="P16" s="6">
        <v>1195267</v>
      </c>
      <c r="Q16" s="6">
        <v>1322634</v>
      </c>
      <c r="R16" s="6">
        <v>2181491</v>
      </c>
      <c r="S16" s="6">
        <v>1909570</v>
      </c>
      <c r="T16" s="6">
        <v>1719012</v>
      </c>
      <c r="U16" s="6">
        <v>1848929</v>
      </c>
      <c r="V16" s="6">
        <v>2595048</v>
      </c>
      <c r="W16" s="6">
        <v>2517885</v>
      </c>
      <c r="X16" s="6">
        <v>2263388</v>
      </c>
      <c r="Y16" s="6">
        <v>4269202</v>
      </c>
      <c r="Z16" s="6">
        <v>3392745</v>
      </c>
      <c r="AA16" s="6">
        <v>2847644</v>
      </c>
      <c r="AB16" s="6">
        <v>3320472</v>
      </c>
      <c r="AC16" s="6">
        <v>2946516</v>
      </c>
      <c r="AD16" s="6">
        <v>2784318</v>
      </c>
      <c r="AE16" s="6">
        <v>3116686</v>
      </c>
      <c r="AF16" s="6">
        <v>3564278</v>
      </c>
      <c r="AG16" s="6">
        <v>4290354</v>
      </c>
      <c r="AH16" s="6">
        <v>3892750</v>
      </c>
      <c r="AI16" s="6">
        <v>4055874</v>
      </c>
      <c r="AJ16" s="6">
        <v>5007584</v>
      </c>
      <c r="AK16" s="6">
        <v>5455123</v>
      </c>
      <c r="AL16" s="6">
        <v>6369119</v>
      </c>
      <c r="AM16" s="6">
        <v>6615437</v>
      </c>
      <c r="AN16" s="6">
        <v>6151260</v>
      </c>
      <c r="AO16" s="6">
        <v>6767163</v>
      </c>
      <c r="AP16" s="6">
        <v>7003716</v>
      </c>
      <c r="AQ16" s="6">
        <v>7738517</v>
      </c>
      <c r="AR16" s="6">
        <v>7324347</v>
      </c>
      <c r="AS16" s="6">
        <v>5437482</v>
      </c>
      <c r="AT16" s="6">
        <v>6157888</v>
      </c>
      <c r="AU16" s="6">
        <v>6456281</v>
      </c>
      <c r="AV16" s="6">
        <v>6787762</v>
      </c>
      <c r="AW16" s="6">
        <v>7407365</v>
      </c>
      <c r="AX16" s="6">
        <v>9012631</v>
      </c>
      <c r="AY16" s="6">
        <v>9470722</v>
      </c>
      <c r="AZ16" s="6">
        <v>8323433</v>
      </c>
      <c r="BA16" s="6">
        <v>4813876</v>
      </c>
      <c r="BB16" s="6">
        <v>8326283</v>
      </c>
      <c r="BC16" s="6">
        <v>8912338</v>
      </c>
      <c r="BD16" s="6">
        <v>9749272</v>
      </c>
      <c r="BE16" s="6">
        <v>9970798</v>
      </c>
      <c r="BF16" s="6">
        <v>9805262</v>
      </c>
      <c r="BG16" s="6">
        <v>10321654</v>
      </c>
    </row>
    <row r="17" spans="1:59" x14ac:dyDescent="0.25">
      <c r="A17" s="11" t="s">
        <v>145</v>
      </c>
      <c r="B17" s="6">
        <v>2593</v>
      </c>
      <c r="C17" s="6">
        <v>-170355</v>
      </c>
      <c r="D17" s="6">
        <v>-154586</v>
      </c>
      <c r="E17" s="6">
        <v>-1128030</v>
      </c>
      <c r="F17" s="6">
        <v>-316847</v>
      </c>
      <c r="G17" s="6">
        <v>-353176</v>
      </c>
      <c r="H17" s="6">
        <v>-312732</v>
      </c>
      <c r="I17" s="6">
        <v>-431209</v>
      </c>
      <c r="J17" s="6">
        <v>-78677</v>
      </c>
      <c r="K17" s="6">
        <v>-492998</v>
      </c>
      <c r="L17" s="6">
        <v>-1096485</v>
      </c>
      <c r="M17" s="6">
        <v>-590206</v>
      </c>
      <c r="N17" s="6">
        <v>-1387958</v>
      </c>
      <c r="O17" s="6">
        <v>-723193</v>
      </c>
      <c r="P17" s="6">
        <v>-675371</v>
      </c>
      <c r="Q17" s="6">
        <v>-837412</v>
      </c>
      <c r="R17" s="6">
        <v>-1599063</v>
      </c>
      <c r="S17" s="6">
        <v>-904660</v>
      </c>
      <c r="T17" s="6">
        <v>-442156</v>
      </c>
      <c r="U17" s="6">
        <v>-716483</v>
      </c>
      <c r="V17" s="6">
        <v>-1270281</v>
      </c>
      <c r="W17" s="6">
        <v>-1108604</v>
      </c>
      <c r="X17" s="6">
        <v>-157064</v>
      </c>
      <c r="Y17" s="6">
        <v>-1073277</v>
      </c>
      <c r="Z17" s="6">
        <v>-823960</v>
      </c>
      <c r="AA17" s="6">
        <v>-219961</v>
      </c>
      <c r="AB17" s="6">
        <v>-742614</v>
      </c>
      <c r="AC17" s="6">
        <v>-59710</v>
      </c>
      <c r="AD17" s="6">
        <v>-167329</v>
      </c>
      <c r="AE17" s="6">
        <v>-71981</v>
      </c>
      <c r="AF17" s="6">
        <v>-365730</v>
      </c>
      <c r="AG17" s="6">
        <v>-312328</v>
      </c>
      <c r="AH17" s="6">
        <v>-772020</v>
      </c>
      <c r="AI17" s="6">
        <v>-439031</v>
      </c>
      <c r="AJ17" s="6">
        <v>-1033718</v>
      </c>
      <c r="AK17" s="6">
        <v>-366266</v>
      </c>
      <c r="AL17" s="6">
        <v>-850817</v>
      </c>
      <c r="AM17" s="6">
        <v>-597671</v>
      </c>
      <c r="AN17" s="6">
        <v>-588931</v>
      </c>
      <c r="AO17" s="6">
        <v>-627184</v>
      </c>
      <c r="AP17" s="6">
        <v>-218386</v>
      </c>
      <c r="AQ17" s="6">
        <v>-417381</v>
      </c>
      <c r="AR17" s="6">
        <v>-609268</v>
      </c>
      <c r="AS17" s="6">
        <v>-691259</v>
      </c>
      <c r="AT17" s="6">
        <v>-534530</v>
      </c>
      <c r="AU17" s="6">
        <v>-807271</v>
      </c>
      <c r="AV17" s="6">
        <v>-944972</v>
      </c>
      <c r="AW17" s="6">
        <v>-1634295</v>
      </c>
      <c r="AX17" s="6">
        <v>-1210972</v>
      </c>
      <c r="AY17" s="6">
        <v>-1644213</v>
      </c>
      <c r="AZ17" s="6">
        <v>-1109265</v>
      </c>
      <c r="BA17" s="6">
        <v>-117844</v>
      </c>
      <c r="BB17" s="6">
        <v>-1090055</v>
      </c>
      <c r="BC17" s="6">
        <v>-1013750</v>
      </c>
      <c r="BD17" s="6">
        <v>-1499256</v>
      </c>
      <c r="BE17" s="6">
        <v>-817564</v>
      </c>
      <c r="BF17" s="6">
        <v>-935292</v>
      </c>
      <c r="BG17" s="6">
        <v>-651638</v>
      </c>
    </row>
    <row r="18" spans="1:59" x14ac:dyDescent="0.25">
      <c r="A18" s="11" t="s">
        <v>146</v>
      </c>
      <c r="B18" s="6">
        <v>1028086</v>
      </c>
      <c r="C18" s="6">
        <v>602331</v>
      </c>
      <c r="D18" s="6">
        <v>603429</v>
      </c>
      <c r="E18" s="6">
        <v>-1216002</v>
      </c>
      <c r="F18" s="6">
        <v>397391</v>
      </c>
      <c r="G18" s="6">
        <v>255181</v>
      </c>
      <c r="H18" s="6">
        <v>97315</v>
      </c>
      <c r="I18" s="6">
        <v>128320</v>
      </c>
      <c r="J18" s="6">
        <v>673136</v>
      </c>
      <c r="K18" s="6">
        <v>275595</v>
      </c>
      <c r="L18" s="6">
        <v>214245</v>
      </c>
      <c r="M18" s="6">
        <v>254045</v>
      </c>
      <c r="N18" s="6">
        <v>408204</v>
      </c>
      <c r="O18" s="6">
        <v>623609</v>
      </c>
      <c r="P18" s="6">
        <v>519896</v>
      </c>
      <c r="Q18" s="6">
        <v>485222</v>
      </c>
      <c r="R18" s="6">
        <v>582428</v>
      </c>
      <c r="S18" s="6">
        <v>1004910</v>
      </c>
      <c r="T18" s="6">
        <v>1276856</v>
      </c>
      <c r="U18" s="6">
        <v>1132446</v>
      </c>
      <c r="V18" s="6">
        <v>1324767</v>
      </c>
      <c r="W18" s="6">
        <v>1409281</v>
      </c>
      <c r="X18" s="6">
        <v>2106324</v>
      </c>
      <c r="Y18" s="6">
        <v>3195925</v>
      </c>
      <c r="Z18" s="6">
        <v>2568785</v>
      </c>
      <c r="AA18" s="6">
        <v>2627683</v>
      </c>
      <c r="AB18" s="6">
        <v>2577858</v>
      </c>
      <c r="AC18" s="6">
        <v>2886806</v>
      </c>
      <c r="AD18" s="6">
        <v>2616989</v>
      </c>
      <c r="AE18" s="6">
        <v>3044705</v>
      </c>
      <c r="AF18" s="6">
        <v>3198548</v>
      </c>
      <c r="AG18" s="6">
        <v>3978026</v>
      </c>
      <c r="AH18" s="6">
        <v>3120730</v>
      </c>
      <c r="AI18" s="6">
        <v>3616843</v>
      </c>
      <c r="AJ18" s="6">
        <v>3973866</v>
      </c>
      <c r="AK18" s="6">
        <v>5088857</v>
      </c>
      <c r="AL18" s="6">
        <v>5518302</v>
      </c>
      <c r="AM18" s="6">
        <v>6017766</v>
      </c>
      <c r="AN18" s="6">
        <v>5562329</v>
      </c>
      <c r="AO18" s="6">
        <v>6139979</v>
      </c>
      <c r="AP18" s="6">
        <v>6785330</v>
      </c>
      <c r="AQ18" s="6">
        <v>7321136</v>
      </c>
      <c r="AR18" s="6">
        <v>6715079</v>
      </c>
      <c r="AS18" s="6">
        <v>4746223</v>
      </c>
      <c r="AT18" s="6">
        <v>5623358</v>
      </c>
      <c r="AU18" s="6">
        <v>5649010</v>
      </c>
      <c r="AV18" s="6">
        <v>5842790</v>
      </c>
      <c r="AW18" s="6">
        <v>5773070</v>
      </c>
      <c r="AX18" s="6">
        <v>7801659</v>
      </c>
      <c r="AY18" s="6">
        <v>7826509</v>
      </c>
      <c r="AZ18" s="6">
        <v>7214168</v>
      </c>
      <c r="BA18" s="6">
        <v>4696032</v>
      </c>
      <c r="BB18" s="6">
        <v>7236228</v>
      </c>
      <c r="BC18" s="6">
        <v>7898588</v>
      </c>
      <c r="BD18" s="6">
        <v>8250016</v>
      </c>
      <c r="BE18" s="6">
        <v>9153234</v>
      </c>
      <c r="BF18" s="6">
        <v>8869970</v>
      </c>
      <c r="BG18" s="6">
        <v>9670016</v>
      </c>
    </row>
    <row r="19" spans="1:59" x14ac:dyDescent="0.25">
      <c r="A19" s="3" t="s">
        <v>147</v>
      </c>
      <c r="B19" s="4">
        <v>0</v>
      </c>
      <c r="C19" s="6">
        <v>-401461</v>
      </c>
      <c r="D19" s="4">
        <v>0</v>
      </c>
      <c r="E19" s="6">
        <v>304001</v>
      </c>
      <c r="F19" s="4">
        <v>0</v>
      </c>
      <c r="G19" s="6">
        <v>-160363</v>
      </c>
      <c r="H19" s="4">
        <v>0</v>
      </c>
      <c r="I19" s="6">
        <v>-32080</v>
      </c>
      <c r="J19" s="6">
        <v>-147963</v>
      </c>
      <c r="K19" s="6">
        <v>-60723</v>
      </c>
      <c r="L19" s="6">
        <v>-52350</v>
      </c>
      <c r="M19" s="6">
        <v>-74127</v>
      </c>
      <c r="N19" s="6">
        <v>-94608</v>
      </c>
      <c r="O19" s="6">
        <v>-132917</v>
      </c>
      <c r="P19" s="6">
        <v>-115741</v>
      </c>
      <c r="Q19" s="6">
        <v>-109456</v>
      </c>
      <c r="R19" s="6">
        <v>-106686</v>
      </c>
      <c r="S19" s="6">
        <v>-212754</v>
      </c>
      <c r="T19" s="6">
        <v>-254518</v>
      </c>
      <c r="U19" s="6">
        <v>-228430</v>
      </c>
      <c r="V19" s="6">
        <v>-265464</v>
      </c>
      <c r="W19" s="6">
        <v>-284315</v>
      </c>
      <c r="X19" s="6">
        <v>-400125</v>
      </c>
      <c r="Y19" s="6">
        <v>-640798</v>
      </c>
      <c r="Z19" s="6">
        <v>-519756</v>
      </c>
      <c r="AA19" s="6">
        <v>-526935</v>
      </c>
      <c r="AB19" s="6">
        <v>-518294</v>
      </c>
      <c r="AC19" s="6">
        <v>-622057</v>
      </c>
      <c r="AD19" s="6">
        <v>-524880</v>
      </c>
      <c r="AE19" s="6">
        <v>-612023</v>
      </c>
      <c r="AF19" s="6">
        <v>-615956</v>
      </c>
      <c r="AG19" s="6">
        <v>-859200</v>
      </c>
      <c r="AH19" s="6">
        <v>-615076</v>
      </c>
      <c r="AI19" s="6">
        <v>-727848</v>
      </c>
      <c r="AJ19" s="6">
        <v>-793599</v>
      </c>
      <c r="AK19" s="6">
        <v>-1081306</v>
      </c>
      <c r="AL19" s="6">
        <v>-1042085</v>
      </c>
      <c r="AM19" s="6">
        <v>-1211109</v>
      </c>
      <c r="AN19" s="6">
        <v>-1130274</v>
      </c>
      <c r="AO19" s="6">
        <v>-1456161</v>
      </c>
      <c r="AP19" s="6">
        <v>-1170786</v>
      </c>
      <c r="AQ19" s="6">
        <v>-1438881</v>
      </c>
      <c r="AR19" s="6">
        <v>-1347539</v>
      </c>
      <c r="AS19" s="6">
        <v>-1174136</v>
      </c>
      <c r="AT19" s="6">
        <v>-1086261</v>
      </c>
      <c r="AU19" s="6">
        <v>-1145561</v>
      </c>
      <c r="AV19" s="6">
        <v>-1174085</v>
      </c>
      <c r="AW19" s="6">
        <v>-1291455</v>
      </c>
      <c r="AX19" s="6">
        <v>-1524656</v>
      </c>
      <c r="AY19" s="6">
        <v>-1556541</v>
      </c>
      <c r="AZ19" s="6">
        <v>-1421146</v>
      </c>
      <c r="BA19" s="6">
        <v>-1275921</v>
      </c>
      <c r="BB19" s="6">
        <v>-1222717</v>
      </c>
      <c r="BC19" s="6">
        <v>-1550978</v>
      </c>
      <c r="BD19" s="6">
        <v>-1636491</v>
      </c>
      <c r="BE19" s="6">
        <v>-2173408</v>
      </c>
      <c r="BF19" s="6">
        <v>-1919690</v>
      </c>
      <c r="BG19" s="6">
        <v>-1943374</v>
      </c>
    </row>
    <row r="20" spans="1:59" x14ac:dyDescent="0.25">
      <c r="A20" s="5" t="s">
        <v>148</v>
      </c>
      <c r="B20" s="4">
        <v>0</v>
      </c>
      <c r="C20" s="6">
        <v>-401461</v>
      </c>
      <c r="D20" s="4">
        <v>0</v>
      </c>
      <c r="E20" s="6">
        <v>304001</v>
      </c>
      <c r="F20" s="4">
        <v>0</v>
      </c>
      <c r="G20" s="6">
        <v>-160363</v>
      </c>
      <c r="H20" s="4">
        <v>0</v>
      </c>
      <c r="I20" s="6">
        <v>-32080</v>
      </c>
      <c r="J20" s="6">
        <v>-147213</v>
      </c>
      <c r="K20" s="6">
        <v>-53879</v>
      </c>
      <c r="L20" s="6">
        <v>-48349</v>
      </c>
      <c r="M20" s="6">
        <v>-74642</v>
      </c>
      <c r="N20" s="6">
        <v>-94164</v>
      </c>
      <c r="O20" s="6">
        <v>-132807</v>
      </c>
      <c r="P20" s="6">
        <v>-111910</v>
      </c>
      <c r="Q20" s="6">
        <v>-89686</v>
      </c>
      <c r="R20" s="6">
        <v>-106675</v>
      </c>
      <c r="S20" s="6">
        <v>-212753</v>
      </c>
      <c r="T20" s="6">
        <v>-254518</v>
      </c>
      <c r="U20" s="6">
        <v>-228430</v>
      </c>
      <c r="V20" s="6">
        <v>-265464</v>
      </c>
      <c r="W20" s="6">
        <v>-264489</v>
      </c>
      <c r="X20" s="6">
        <v>-399265</v>
      </c>
      <c r="Y20" s="6">
        <v>-635598</v>
      </c>
      <c r="Z20" s="6">
        <v>-517983</v>
      </c>
      <c r="AA20" s="6">
        <v>-526935</v>
      </c>
      <c r="AB20" s="6">
        <v>-518294</v>
      </c>
      <c r="AC20" s="6">
        <v>-622057</v>
      </c>
      <c r="AD20" s="6">
        <v>-524880</v>
      </c>
      <c r="AE20" s="6">
        <v>-612023</v>
      </c>
      <c r="AF20" s="6">
        <v>-615956</v>
      </c>
      <c r="AG20" s="6">
        <v>-859200</v>
      </c>
      <c r="AH20" s="6">
        <v>-615076</v>
      </c>
      <c r="AI20" s="6">
        <v>-727848</v>
      </c>
      <c r="AJ20" s="6">
        <v>-793599</v>
      </c>
      <c r="AK20" s="6">
        <v>-1081306</v>
      </c>
      <c r="AL20" s="6">
        <v>-1042085</v>
      </c>
      <c r="AM20" s="6">
        <v>-1211109</v>
      </c>
      <c r="AN20" s="6">
        <v>-1130274</v>
      </c>
      <c r="AO20" s="6">
        <v>-1456161</v>
      </c>
      <c r="AP20" s="6">
        <v>-1170786</v>
      </c>
      <c r="AQ20" s="6">
        <v>-1446671</v>
      </c>
      <c r="AR20" s="6">
        <v>-1343692</v>
      </c>
      <c r="AS20" s="6">
        <v>-1213783</v>
      </c>
      <c r="AT20" s="6">
        <v>-1087579</v>
      </c>
      <c r="AU20" s="6">
        <v>-1146560</v>
      </c>
      <c r="AV20" s="6">
        <v>-1177199</v>
      </c>
      <c r="AW20" s="6">
        <v>-1295383</v>
      </c>
      <c r="AX20" s="6">
        <v>-1524069</v>
      </c>
      <c r="AY20" s="6">
        <v>-1558837</v>
      </c>
      <c r="AZ20" s="6">
        <v>-1422429</v>
      </c>
      <c r="BA20" s="6">
        <v>-1282376</v>
      </c>
      <c r="BB20" s="6">
        <v>-1221736</v>
      </c>
      <c r="BC20" s="6">
        <v>-1549782</v>
      </c>
      <c r="BD20" s="6">
        <v>-1636587</v>
      </c>
      <c r="BE20" s="6">
        <v>-2136120</v>
      </c>
      <c r="BF20" s="6">
        <v>-1920387</v>
      </c>
      <c r="BG20" s="6">
        <v>-1948060</v>
      </c>
    </row>
    <row r="21" spans="1:59" x14ac:dyDescent="0.25">
      <c r="A21" s="5" t="s">
        <v>149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-750</v>
      </c>
      <c r="K21" s="6">
        <v>-6844</v>
      </c>
      <c r="L21" s="6">
        <v>-4001</v>
      </c>
      <c r="M21" s="4">
        <v>515</v>
      </c>
      <c r="N21" s="4">
        <v>-444</v>
      </c>
      <c r="O21" s="4">
        <v>-110</v>
      </c>
      <c r="P21" s="6">
        <v>-3831</v>
      </c>
      <c r="Q21" s="6">
        <v>-19770</v>
      </c>
      <c r="R21" s="4">
        <v>-11</v>
      </c>
      <c r="S21" s="4">
        <v>-1</v>
      </c>
      <c r="T21" s="4">
        <v>0</v>
      </c>
      <c r="U21" s="4">
        <v>0</v>
      </c>
      <c r="V21" s="4">
        <v>0</v>
      </c>
      <c r="W21" s="6">
        <v>-19826</v>
      </c>
      <c r="X21" s="4">
        <v>-860</v>
      </c>
      <c r="Y21" s="6">
        <v>-5200</v>
      </c>
      <c r="Z21" s="6">
        <v>-1773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/>
      <c r="AM21" s="4"/>
      <c r="AN21" s="4"/>
      <c r="AO21" s="4">
        <v>0</v>
      </c>
      <c r="AP21" s="4"/>
      <c r="AQ21" s="6">
        <v>7790</v>
      </c>
      <c r="AR21" s="6">
        <v>-3847</v>
      </c>
      <c r="AS21" s="6">
        <v>39647</v>
      </c>
      <c r="AT21" s="6">
        <v>1318</v>
      </c>
      <c r="AU21" s="4">
        <v>999</v>
      </c>
      <c r="AV21" s="6">
        <v>3114</v>
      </c>
      <c r="AW21" s="6">
        <v>3928</v>
      </c>
      <c r="AX21" s="4">
        <v>-587</v>
      </c>
      <c r="AY21" s="6">
        <v>2296</v>
      </c>
      <c r="AZ21" s="6">
        <v>1283</v>
      </c>
      <c r="BA21" s="6">
        <v>6455</v>
      </c>
      <c r="BB21" s="4">
        <v>-981</v>
      </c>
      <c r="BC21" s="6">
        <v>-1196</v>
      </c>
      <c r="BD21" s="4">
        <v>96</v>
      </c>
      <c r="BE21" s="6">
        <v>-37288</v>
      </c>
      <c r="BF21" s="4">
        <v>697</v>
      </c>
      <c r="BG21" s="6">
        <v>4686</v>
      </c>
    </row>
    <row r="22" spans="1:59" x14ac:dyDescent="0.25">
      <c r="A22" s="11" t="s">
        <v>150</v>
      </c>
      <c r="B22" s="6">
        <v>1028086</v>
      </c>
      <c r="C22" s="6">
        <v>200870</v>
      </c>
      <c r="D22" s="6">
        <v>603429</v>
      </c>
      <c r="E22" s="6">
        <v>-912001</v>
      </c>
      <c r="F22" s="6">
        <v>397391</v>
      </c>
      <c r="G22" s="6">
        <v>94818</v>
      </c>
      <c r="H22" s="6">
        <v>97315</v>
      </c>
      <c r="I22" s="6">
        <v>96240</v>
      </c>
      <c r="J22" s="6">
        <v>525173</v>
      </c>
      <c r="K22" s="6">
        <v>214872</v>
      </c>
      <c r="L22" s="6">
        <v>161895</v>
      </c>
      <c r="M22" s="6">
        <v>179918</v>
      </c>
      <c r="N22" s="6">
        <v>313596</v>
      </c>
      <c r="O22" s="6">
        <v>490692</v>
      </c>
      <c r="P22" s="6">
        <v>404155</v>
      </c>
      <c r="Q22" s="6">
        <v>375766</v>
      </c>
      <c r="R22" s="6">
        <v>475742</v>
      </c>
      <c r="S22" s="6">
        <v>792156</v>
      </c>
      <c r="T22" s="6">
        <v>1022338</v>
      </c>
      <c r="U22" s="6">
        <v>904016</v>
      </c>
      <c r="V22" s="6">
        <v>1059303</v>
      </c>
      <c r="W22" s="6">
        <v>1124966</v>
      </c>
      <c r="X22" s="6">
        <v>1706199</v>
      </c>
      <c r="Y22" s="6">
        <v>2555127</v>
      </c>
      <c r="Z22" s="6">
        <v>2049029</v>
      </c>
      <c r="AA22" s="6">
        <v>2100748</v>
      </c>
      <c r="AB22" s="6">
        <v>2059564</v>
      </c>
      <c r="AC22" s="6">
        <v>2264749</v>
      </c>
      <c r="AD22" s="6">
        <v>2092109</v>
      </c>
      <c r="AE22" s="6">
        <v>2432682</v>
      </c>
      <c r="AF22" s="6">
        <v>2582592</v>
      </c>
      <c r="AG22" s="6">
        <v>3118826</v>
      </c>
      <c r="AH22" s="6">
        <v>2505654</v>
      </c>
      <c r="AI22" s="6">
        <v>2888995</v>
      </c>
      <c r="AJ22" s="6">
        <v>3180267</v>
      </c>
      <c r="AK22" s="6">
        <v>4007551</v>
      </c>
      <c r="AL22" s="6">
        <v>4476217</v>
      </c>
      <c r="AM22" s="6">
        <v>4806657</v>
      </c>
      <c r="AN22" s="6">
        <v>4432055</v>
      </c>
      <c r="AO22" s="6">
        <v>4683818</v>
      </c>
      <c r="AP22" s="6">
        <v>5614544</v>
      </c>
      <c r="AQ22" s="6">
        <v>5882255</v>
      </c>
      <c r="AR22" s="6">
        <v>5367540</v>
      </c>
      <c r="AS22" s="6">
        <v>3572087</v>
      </c>
      <c r="AT22" s="6">
        <v>4537097</v>
      </c>
      <c r="AU22" s="6">
        <v>4503449</v>
      </c>
      <c r="AV22" s="6">
        <v>4668705</v>
      </c>
      <c r="AW22" s="6">
        <v>4481615</v>
      </c>
      <c r="AX22" s="6">
        <v>6277003</v>
      </c>
      <c r="AY22" s="6">
        <v>6269968</v>
      </c>
      <c r="AZ22" s="6">
        <v>5793022</v>
      </c>
      <c r="BA22" s="6">
        <v>3420111</v>
      </c>
      <c r="BB22" s="6">
        <v>6013511</v>
      </c>
      <c r="BC22" s="6">
        <v>6347610</v>
      </c>
      <c r="BD22" s="6">
        <v>6613525</v>
      </c>
      <c r="BE22" s="6">
        <v>6979826</v>
      </c>
      <c r="BF22" s="6">
        <v>6950280</v>
      </c>
      <c r="BG22" s="6">
        <v>7726642</v>
      </c>
    </row>
    <row r="23" spans="1:59" x14ac:dyDescent="0.25">
      <c r="A23" s="11" t="s">
        <v>151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6">
        <v>11222</v>
      </c>
      <c r="AD23" s="6">
        <v>9284</v>
      </c>
      <c r="AE23" s="6">
        <v>23843</v>
      </c>
      <c r="AF23" s="6">
        <v>28363</v>
      </c>
      <c r="AG23" s="6">
        <v>89580</v>
      </c>
      <c r="AH23" s="6">
        <v>49762</v>
      </c>
      <c r="AI23" s="6">
        <v>72116</v>
      </c>
      <c r="AJ23" s="6">
        <v>81249</v>
      </c>
      <c r="AK23" s="6">
        <v>54452</v>
      </c>
      <c r="AL23" s="6">
        <v>79488</v>
      </c>
      <c r="AM23" s="6">
        <v>95531</v>
      </c>
      <c r="AN23" s="6">
        <v>94455</v>
      </c>
      <c r="AO23" s="6">
        <v>91588</v>
      </c>
      <c r="AP23" s="6">
        <v>109930</v>
      </c>
      <c r="AQ23" s="6">
        <v>78730</v>
      </c>
      <c r="AR23" s="6">
        <v>69574</v>
      </c>
      <c r="AS23" s="6">
        <v>27815</v>
      </c>
      <c r="AT23" s="6">
        <v>40202</v>
      </c>
      <c r="AU23" s="6">
        <v>48394</v>
      </c>
      <c r="AV23" s="6">
        <v>55762</v>
      </c>
      <c r="AW23" s="6">
        <v>42706</v>
      </c>
      <c r="AX23" s="6">
        <v>56006</v>
      </c>
      <c r="AY23" s="6">
        <v>76607</v>
      </c>
      <c r="AZ23" s="6">
        <v>55517</v>
      </c>
      <c r="BA23" s="6">
        <v>49046</v>
      </c>
      <c r="BB23" s="6">
        <v>65551</v>
      </c>
      <c r="BC23" s="6">
        <v>100246</v>
      </c>
      <c r="BD23" s="6">
        <v>194181</v>
      </c>
      <c r="BE23" s="6">
        <v>304264</v>
      </c>
      <c r="BF23" s="6">
        <v>279199</v>
      </c>
      <c r="BG23" s="6">
        <v>376583</v>
      </c>
    </row>
    <row r="24" spans="1:59" x14ac:dyDescent="0.25">
      <c r="A24" s="11" t="s">
        <v>152</v>
      </c>
      <c r="B24" s="6">
        <v>1028086</v>
      </c>
      <c r="C24" s="6">
        <v>200870</v>
      </c>
      <c r="D24" s="6">
        <v>603429</v>
      </c>
      <c r="E24" s="6">
        <v>-912001</v>
      </c>
      <c r="F24" s="6">
        <v>397391</v>
      </c>
      <c r="G24" s="6">
        <v>94818</v>
      </c>
      <c r="H24" s="6">
        <v>97315</v>
      </c>
      <c r="I24" s="6">
        <v>96240</v>
      </c>
      <c r="J24" s="6">
        <v>525173</v>
      </c>
      <c r="K24" s="6">
        <v>214872</v>
      </c>
      <c r="L24" s="6">
        <v>161895</v>
      </c>
      <c r="M24" s="6">
        <v>179918</v>
      </c>
      <c r="N24" s="6">
        <v>313596</v>
      </c>
      <c r="O24" s="6">
        <v>490692</v>
      </c>
      <c r="P24" s="6">
        <v>404155</v>
      </c>
      <c r="Q24" s="6">
        <v>375766</v>
      </c>
      <c r="R24" s="6">
        <v>475742</v>
      </c>
      <c r="S24" s="6">
        <v>792156</v>
      </c>
      <c r="T24" s="6">
        <v>1022338</v>
      </c>
      <c r="U24" s="6">
        <v>904016</v>
      </c>
      <c r="V24" s="6">
        <v>1059303</v>
      </c>
      <c r="W24" s="6">
        <v>1124966</v>
      </c>
      <c r="X24" s="6">
        <v>1706199</v>
      </c>
      <c r="Y24" s="6">
        <v>2555127</v>
      </c>
      <c r="Z24" s="6">
        <v>2049029</v>
      </c>
      <c r="AA24" s="6">
        <v>2100748</v>
      </c>
      <c r="AB24" s="6">
        <v>2059564</v>
      </c>
      <c r="AC24" s="6">
        <v>2253527</v>
      </c>
      <c r="AD24" s="6">
        <v>2082825</v>
      </c>
      <c r="AE24" s="6">
        <v>2408839</v>
      </c>
      <c r="AF24" s="6">
        <v>2554229</v>
      </c>
      <c r="AG24" s="6">
        <v>3029246</v>
      </c>
      <c r="AH24" s="6">
        <v>2455892</v>
      </c>
      <c r="AI24" s="6">
        <v>2816879</v>
      </c>
      <c r="AJ24" s="6">
        <v>3099018</v>
      </c>
      <c r="AK24" s="6">
        <v>3953099</v>
      </c>
      <c r="AL24" s="6">
        <v>4396729</v>
      </c>
      <c r="AM24" s="6">
        <v>4711126</v>
      </c>
      <c r="AN24" s="6">
        <v>4337600</v>
      </c>
      <c r="AO24" s="6">
        <v>4592230</v>
      </c>
      <c r="AP24" s="6">
        <v>5504614</v>
      </c>
      <c r="AQ24" s="6">
        <v>5803525</v>
      </c>
      <c r="AR24" s="6">
        <v>5297966</v>
      </c>
      <c r="AS24" s="6">
        <v>3544272</v>
      </c>
      <c r="AT24" s="6">
        <v>4496895</v>
      </c>
      <c r="AU24" s="6">
        <v>4455055</v>
      </c>
      <c r="AV24" s="6">
        <v>4612943</v>
      </c>
      <c r="AW24" s="6">
        <v>4438909</v>
      </c>
      <c r="AX24" s="6">
        <v>6220997</v>
      </c>
      <c r="AY24" s="6">
        <v>6193361</v>
      </c>
      <c r="AZ24" s="6">
        <v>5737505</v>
      </c>
      <c r="BA24" s="6">
        <v>3371065</v>
      </c>
      <c r="BB24" s="6">
        <v>5947960</v>
      </c>
      <c r="BC24" s="6">
        <v>6247364</v>
      </c>
      <c r="BD24" s="6">
        <v>6419344</v>
      </c>
      <c r="BE24" s="6">
        <v>6675562</v>
      </c>
      <c r="BF24" s="6">
        <v>6671081</v>
      </c>
      <c r="BG24" s="6">
        <v>7350059</v>
      </c>
    </row>
    <row r="25" spans="1:59" x14ac:dyDescent="0.25">
      <c r="AC25" s="17"/>
    </row>
    <row r="26" spans="1:59" x14ac:dyDescent="0.25">
      <c r="B26" s="17">
        <f>B3+B4-B2</f>
        <v>0</v>
      </c>
      <c r="C26" s="17">
        <f t="shared" ref="C26:BG26" si="0">C3+C4-C2</f>
        <v>0</v>
      </c>
      <c r="D26" s="17">
        <f t="shared" si="0"/>
        <v>0</v>
      </c>
      <c r="E26" s="17">
        <f t="shared" si="0"/>
        <v>0</v>
      </c>
      <c r="F26" s="17">
        <f t="shared" si="0"/>
        <v>0</v>
      </c>
      <c r="G26" s="17">
        <f t="shared" si="0"/>
        <v>0</v>
      </c>
      <c r="H26" s="17">
        <f t="shared" si="0"/>
        <v>0</v>
      </c>
      <c r="I26" s="17">
        <f t="shared" si="0"/>
        <v>0</v>
      </c>
      <c r="J26" s="17">
        <f t="shared" si="0"/>
        <v>0</v>
      </c>
      <c r="K26" s="17">
        <f t="shared" si="0"/>
        <v>0</v>
      </c>
      <c r="L26" s="17">
        <f t="shared" si="0"/>
        <v>0</v>
      </c>
      <c r="M26" s="17">
        <f t="shared" si="0"/>
        <v>0</v>
      </c>
      <c r="N26" s="17">
        <f t="shared" si="0"/>
        <v>0</v>
      </c>
      <c r="O26" s="17">
        <f t="shared" si="0"/>
        <v>0</v>
      </c>
      <c r="P26" s="17">
        <f t="shared" si="0"/>
        <v>0</v>
      </c>
      <c r="Q26" s="17">
        <f t="shared" si="0"/>
        <v>0</v>
      </c>
      <c r="R26" s="17">
        <f t="shared" si="0"/>
        <v>0</v>
      </c>
      <c r="S26" s="17">
        <f t="shared" si="0"/>
        <v>0</v>
      </c>
      <c r="T26" s="17">
        <f t="shared" si="0"/>
        <v>0</v>
      </c>
      <c r="U26" s="17">
        <f t="shared" si="0"/>
        <v>0</v>
      </c>
      <c r="V26" s="17">
        <f t="shared" si="0"/>
        <v>0</v>
      </c>
      <c r="W26" s="17">
        <f t="shared" si="0"/>
        <v>0</v>
      </c>
      <c r="X26" s="17">
        <f t="shared" si="0"/>
        <v>0</v>
      </c>
      <c r="Y26" s="17">
        <f t="shared" si="0"/>
        <v>0</v>
      </c>
      <c r="Z26" s="17">
        <f t="shared" si="0"/>
        <v>0</v>
      </c>
      <c r="AA26" s="17">
        <f t="shared" si="0"/>
        <v>0</v>
      </c>
      <c r="AB26" s="17">
        <f t="shared" si="0"/>
        <v>0</v>
      </c>
      <c r="AC26" s="17">
        <f t="shared" si="0"/>
        <v>0</v>
      </c>
      <c r="AD26" s="17">
        <f t="shared" si="0"/>
        <v>0</v>
      </c>
      <c r="AE26" s="17">
        <f t="shared" si="0"/>
        <v>0</v>
      </c>
      <c r="AF26" s="17">
        <f t="shared" si="0"/>
        <v>0</v>
      </c>
      <c r="AG26" s="17">
        <f t="shared" si="0"/>
        <v>0</v>
      </c>
      <c r="AH26" s="17">
        <f t="shared" si="0"/>
        <v>0</v>
      </c>
      <c r="AI26" s="17">
        <f t="shared" si="0"/>
        <v>0</v>
      </c>
      <c r="AJ26" s="17">
        <f t="shared" si="0"/>
        <v>0</v>
      </c>
      <c r="AK26" s="17">
        <f t="shared" si="0"/>
        <v>0</v>
      </c>
      <c r="AL26" s="17">
        <f t="shared" si="0"/>
        <v>0</v>
      </c>
      <c r="AM26" s="17">
        <f t="shared" si="0"/>
        <v>0</v>
      </c>
      <c r="AN26" s="17">
        <f t="shared" si="0"/>
        <v>0</v>
      </c>
      <c r="AO26" s="17">
        <f t="shared" si="0"/>
        <v>0</v>
      </c>
      <c r="AP26" s="17">
        <f t="shared" si="0"/>
        <v>0</v>
      </c>
      <c r="AQ26" s="17">
        <f t="shared" si="0"/>
        <v>0</v>
      </c>
      <c r="AR26" s="17">
        <f t="shared" si="0"/>
        <v>0</v>
      </c>
      <c r="AS26" s="17">
        <f t="shared" si="0"/>
        <v>0</v>
      </c>
      <c r="AT26" s="17">
        <f t="shared" si="0"/>
        <v>0</v>
      </c>
      <c r="AU26" s="17">
        <f t="shared" si="0"/>
        <v>0</v>
      </c>
      <c r="AV26" s="17">
        <f t="shared" si="0"/>
        <v>0</v>
      </c>
      <c r="AW26" s="17">
        <f t="shared" si="0"/>
        <v>0</v>
      </c>
      <c r="AX26" s="17">
        <f t="shared" si="0"/>
        <v>0</v>
      </c>
      <c r="AY26" s="17">
        <f t="shared" si="0"/>
        <v>0</v>
      </c>
      <c r="AZ26" s="17">
        <f t="shared" si="0"/>
        <v>0</v>
      </c>
      <c r="BA26" s="17">
        <f t="shared" si="0"/>
        <v>0</v>
      </c>
      <c r="BB26" s="17">
        <f t="shared" si="0"/>
        <v>0</v>
      </c>
      <c r="BC26" s="17">
        <f t="shared" si="0"/>
        <v>0</v>
      </c>
      <c r="BD26" s="17">
        <f t="shared" si="0"/>
        <v>0</v>
      </c>
      <c r="BE26" s="17">
        <f t="shared" si="0"/>
        <v>0</v>
      </c>
      <c r="BF26" s="17">
        <f t="shared" si="0"/>
        <v>0</v>
      </c>
      <c r="BG26" s="17">
        <f t="shared" si="0"/>
        <v>0</v>
      </c>
    </row>
    <row r="27" spans="1:59" x14ac:dyDescent="0.25">
      <c r="B27" s="17">
        <f>B6+B7-B5</f>
        <v>0</v>
      </c>
      <c r="C27" s="17">
        <f t="shared" ref="C27:BG27" si="1">C6+C7-C5</f>
        <v>0</v>
      </c>
      <c r="D27" s="17">
        <f t="shared" si="1"/>
        <v>0</v>
      </c>
      <c r="E27" s="17">
        <f t="shared" si="1"/>
        <v>0</v>
      </c>
      <c r="F27" s="17">
        <f t="shared" si="1"/>
        <v>0</v>
      </c>
      <c r="G27" s="17">
        <f t="shared" si="1"/>
        <v>0</v>
      </c>
      <c r="H27" s="17">
        <f t="shared" si="1"/>
        <v>0</v>
      </c>
      <c r="I27" s="17">
        <f t="shared" si="1"/>
        <v>0</v>
      </c>
      <c r="J27" s="17">
        <f t="shared" si="1"/>
        <v>0</v>
      </c>
      <c r="K27" s="17">
        <f t="shared" si="1"/>
        <v>0</v>
      </c>
      <c r="L27" s="17">
        <f t="shared" si="1"/>
        <v>0</v>
      </c>
      <c r="M27" s="17">
        <f t="shared" si="1"/>
        <v>0</v>
      </c>
      <c r="N27" s="17">
        <f t="shared" si="1"/>
        <v>0</v>
      </c>
      <c r="O27" s="17">
        <f t="shared" si="1"/>
        <v>0</v>
      </c>
      <c r="P27" s="17">
        <f t="shared" si="1"/>
        <v>0</v>
      </c>
      <c r="Q27" s="17">
        <f t="shared" si="1"/>
        <v>0</v>
      </c>
      <c r="R27" s="17">
        <f t="shared" si="1"/>
        <v>0</v>
      </c>
      <c r="S27" s="17">
        <f t="shared" si="1"/>
        <v>0</v>
      </c>
      <c r="T27" s="17">
        <f t="shared" si="1"/>
        <v>0</v>
      </c>
      <c r="U27" s="17">
        <f t="shared" si="1"/>
        <v>0</v>
      </c>
      <c r="V27" s="17">
        <f t="shared" si="1"/>
        <v>0</v>
      </c>
      <c r="W27" s="17">
        <f t="shared" si="1"/>
        <v>0</v>
      </c>
      <c r="X27" s="17">
        <f t="shared" si="1"/>
        <v>0</v>
      </c>
      <c r="Y27" s="17">
        <f t="shared" si="1"/>
        <v>0</v>
      </c>
      <c r="Z27" s="17">
        <f t="shared" si="1"/>
        <v>0</v>
      </c>
      <c r="AA27" s="17">
        <f t="shared" si="1"/>
        <v>0</v>
      </c>
      <c r="AB27" s="17">
        <f t="shared" si="1"/>
        <v>0</v>
      </c>
      <c r="AC27" s="17">
        <f t="shared" si="1"/>
        <v>0</v>
      </c>
      <c r="AD27" s="17">
        <f t="shared" si="1"/>
        <v>0</v>
      </c>
      <c r="AE27" s="17">
        <f t="shared" si="1"/>
        <v>0</v>
      </c>
      <c r="AF27" s="17">
        <f t="shared" si="1"/>
        <v>0</v>
      </c>
      <c r="AG27" s="17">
        <f t="shared" si="1"/>
        <v>0</v>
      </c>
      <c r="AH27" s="17">
        <f t="shared" si="1"/>
        <v>0</v>
      </c>
      <c r="AI27" s="17">
        <f t="shared" si="1"/>
        <v>0</v>
      </c>
      <c r="AJ27" s="17">
        <f t="shared" si="1"/>
        <v>0</v>
      </c>
      <c r="AK27" s="17">
        <f t="shared" si="1"/>
        <v>0</v>
      </c>
      <c r="AL27" s="17">
        <f t="shared" si="1"/>
        <v>0</v>
      </c>
      <c r="AM27" s="17">
        <f t="shared" si="1"/>
        <v>0</v>
      </c>
      <c r="AN27" s="17">
        <f t="shared" si="1"/>
        <v>0</v>
      </c>
      <c r="AO27" s="17">
        <f t="shared" si="1"/>
        <v>0</v>
      </c>
      <c r="AP27" s="17">
        <f t="shared" si="1"/>
        <v>0</v>
      </c>
      <c r="AQ27" s="17">
        <f t="shared" si="1"/>
        <v>0</v>
      </c>
      <c r="AR27" s="17">
        <f t="shared" si="1"/>
        <v>0</v>
      </c>
      <c r="AS27" s="17">
        <f t="shared" si="1"/>
        <v>0</v>
      </c>
      <c r="AT27" s="17">
        <f t="shared" si="1"/>
        <v>0</v>
      </c>
      <c r="AU27" s="17">
        <f t="shared" si="1"/>
        <v>0</v>
      </c>
      <c r="AV27" s="17">
        <f t="shared" si="1"/>
        <v>0</v>
      </c>
      <c r="AW27" s="17">
        <f t="shared" si="1"/>
        <v>0</v>
      </c>
      <c r="AX27" s="17">
        <f t="shared" si="1"/>
        <v>0</v>
      </c>
      <c r="AY27" s="17">
        <f t="shared" si="1"/>
        <v>0</v>
      </c>
      <c r="AZ27" s="17">
        <f t="shared" si="1"/>
        <v>0</v>
      </c>
      <c r="BA27" s="17">
        <f t="shared" si="1"/>
        <v>0</v>
      </c>
      <c r="BB27" s="17">
        <f t="shared" si="1"/>
        <v>0</v>
      </c>
      <c r="BC27" s="17">
        <f t="shared" si="1"/>
        <v>0</v>
      </c>
      <c r="BD27" s="17">
        <f t="shared" si="1"/>
        <v>0</v>
      </c>
      <c r="BE27" s="17">
        <f t="shared" si="1"/>
        <v>0</v>
      </c>
      <c r="BF27" s="17">
        <f t="shared" si="1"/>
        <v>0</v>
      </c>
      <c r="BG27" s="17">
        <f t="shared" si="1"/>
        <v>0</v>
      </c>
    </row>
    <row r="28" spans="1:59" x14ac:dyDescent="0.25">
      <c r="B28" s="17">
        <f>B12+B13-B11</f>
        <v>0</v>
      </c>
      <c r="C28" s="17">
        <f t="shared" ref="C28:BG28" si="2">C12+C13-C11</f>
        <v>0</v>
      </c>
      <c r="D28" s="17">
        <f t="shared" si="2"/>
        <v>0</v>
      </c>
      <c r="E28" s="17">
        <f t="shared" si="2"/>
        <v>0</v>
      </c>
      <c r="F28" s="17">
        <f t="shared" si="2"/>
        <v>0</v>
      </c>
      <c r="G28" s="17">
        <f t="shared" si="2"/>
        <v>0</v>
      </c>
      <c r="H28" s="17">
        <f t="shared" si="2"/>
        <v>0</v>
      </c>
      <c r="I28" s="17">
        <f t="shared" si="2"/>
        <v>0</v>
      </c>
      <c r="J28" s="17">
        <f t="shared" si="2"/>
        <v>0</v>
      </c>
      <c r="K28" s="17">
        <f t="shared" si="2"/>
        <v>0</v>
      </c>
      <c r="L28" s="17">
        <f t="shared" si="2"/>
        <v>0</v>
      </c>
      <c r="M28" s="17">
        <f t="shared" si="2"/>
        <v>0</v>
      </c>
      <c r="N28" s="17">
        <f t="shared" si="2"/>
        <v>0</v>
      </c>
      <c r="O28" s="17">
        <f t="shared" si="2"/>
        <v>0</v>
      </c>
      <c r="P28" s="17">
        <f t="shared" si="2"/>
        <v>0</v>
      </c>
      <c r="Q28" s="17">
        <f t="shared" si="2"/>
        <v>0</v>
      </c>
      <c r="R28" s="17">
        <f t="shared" si="2"/>
        <v>0</v>
      </c>
      <c r="S28" s="17">
        <f t="shared" si="2"/>
        <v>0</v>
      </c>
      <c r="T28" s="17">
        <f t="shared" si="2"/>
        <v>0</v>
      </c>
      <c r="U28" s="17">
        <f t="shared" si="2"/>
        <v>0</v>
      </c>
      <c r="V28" s="17">
        <f t="shared" si="2"/>
        <v>0</v>
      </c>
      <c r="W28" s="17">
        <f t="shared" si="2"/>
        <v>0</v>
      </c>
      <c r="X28" s="17">
        <f t="shared" si="2"/>
        <v>0</v>
      </c>
      <c r="Y28" s="17">
        <f t="shared" si="2"/>
        <v>0</v>
      </c>
      <c r="Z28" s="17">
        <f t="shared" si="2"/>
        <v>0</v>
      </c>
      <c r="AA28" s="17">
        <f t="shared" si="2"/>
        <v>0</v>
      </c>
      <c r="AB28" s="17">
        <f t="shared" si="2"/>
        <v>0</v>
      </c>
      <c r="AC28" s="17">
        <f t="shared" si="2"/>
        <v>0</v>
      </c>
      <c r="AD28" s="17">
        <f t="shared" si="2"/>
        <v>0</v>
      </c>
      <c r="AE28" s="17">
        <f t="shared" si="2"/>
        <v>0</v>
      </c>
      <c r="AF28" s="17">
        <f t="shared" si="2"/>
        <v>0</v>
      </c>
      <c r="AG28" s="17">
        <f t="shared" si="2"/>
        <v>0</v>
      </c>
      <c r="AH28" s="17">
        <f t="shared" si="2"/>
        <v>0</v>
      </c>
      <c r="AI28" s="17">
        <f t="shared" si="2"/>
        <v>0</v>
      </c>
      <c r="AJ28" s="17">
        <f t="shared" si="2"/>
        <v>0</v>
      </c>
      <c r="AK28" s="17">
        <f t="shared" si="2"/>
        <v>0</v>
      </c>
      <c r="AL28" s="17">
        <f t="shared" si="2"/>
        <v>0</v>
      </c>
      <c r="AM28" s="17">
        <f t="shared" si="2"/>
        <v>0</v>
      </c>
      <c r="AN28" s="17">
        <f t="shared" si="2"/>
        <v>0</v>
      </c>
      <c r="AO28" s="17">
        <f t="shared" si="2"/>
        <v>0</v>
      </c>
      <c r="AP28" s="17">
        <f t="shared" si="2"/>
        <v>0</v>
      </c>
      <c r="AQ28" s="17">
        <f t="shared" si="2"/>
        <v>0</v>
      </c>
      <c r="AR28" s="17">
        <f t="shared" si="2"/>
        <v>0</v>
      </c>
      <c r="AS28" s="17">
        <f t="shared" si="2"/>
        <v>0</v>
      </c>
      <c r="AT28" s="17">
        <f t="shared" si="2"/>
        <v>0</v>
      </c>
      <c r="AU28" s="17">
        <f t="shared" si="2"/>
        <v>0</v>
      </c>
      <c r="AV28" s="17">
        <f t="shared" si="2"/>
        <v>0</v>
      </c>
      <c r="AW28" s="17">
        <f t="shared" si="2"/>
        <v>0</v>
      </c>
      <c r="AX28" s="17">
        <f t="shared" si="2"/>
        <v>0</v>
      </c>
      <c r="AY28" s="17">
        <f t="shared" si="2"/>
        <v>0</v>
      </c>
      <c r="AZ28" s="17">
        <f t="shared" si="2"/>
        <v>0</v>
      </c>
      <c r="BA28" s="17">
        <f t="shared" si="2"/>
        <v>0</v>
      </c>
      <c r="BB28" s="17">
        <f t="shared" si="2"/>
        <v>0</v>
      </c>
      <c r="BC28" s="17">
        <f t="shared" si="2"/>
        <v>0</v>
      </c>
      <c r="BD28" s="17">
        <f t="shared" si="2"/>
        <v>0</v>
      </c>
      <c r="BE28" s="17">
        <f t="shared" si="2"/>
        <v>0</v>
      </c>
      <c r="BF28" s="17">
        <f t="shared" si="2"/>
        <v>0</v>
      </c>
      <c r="BG28" s="17">
        <f t="shared" si="2"/>
        <v>0</v>
      </c>
    </row>
    <row r="29" spans="1:59" x14ac:dyDescent="0.25">
      <c r="B29" s="13">
        <f>B21+B20-B19</f>
        <v>0</v>
      </c>
      <c r="C29" s="13">
        <f t="shared" ref="C29:BG29" si="3">C21+C20-C19</f>
        <v>0</v>
      </c>
      <c r="D29" s="13">
        <f t="shared" si="3"/>
        <v>0</v>
      </c>
      <c r="E29" s="13">
        <f t="shared" si="3"/>
        <v>0</v>
      </c>
      <c r="F29" s="13">
        <f t="shared" si="3"/>
        <v>0</v>
      </c>
      <c r="G29" s="13">
        <f t="shared" si="3"/>
        <v>0</v>
      </c>
      <c r="H29" s="13">
        <f t="shared" si="3"/>
        <v>0</v>
      </c>
      <c r="I29" s="13">
        <f t="shared" si="3"/>
        <v>0</v>
      </c>
      <c r="J29" s="13">
        <f t="shared" si="3"/>
        <v>0</v>
      </c>
      <c r="K29" s="13">
        <f t="shared" si="3"/>
        <v>0</v>
      </c>
      <c r="L29" s="13">
        <f t="shared" si="3"/>
        <v>0</v>
      </c>
      <c r="M29" s="13">
        <f t="shared" si="3"/>
        <v>0</v>
      </c>
      <c r="N29" s="13">
        <f t="shared" si="3"/>
        <v>0</v>
      </c>
      <c r="O29" s="13">
        <f t="shared" si="3"/>
        <v>0</v>
      </c>
      <c r="P29" s="13">
        <f t="shared" si="3"/>
        <v>0</v>
      </c>
      <c r="Q29" s="13">
        <f t="shared" si="3"/>
        <v>0</v>
      </c>
      <c r="R29" s="13">
        <f t="shared" si="3"/>
        <v>0</v>
      </c>
      <c r="S29" s="13">
        <f t="shared" si="3"/>
        <v>0</v>
      </c>
      <c r="T29" s="13">
        <f t="shared" si="3"/>
        <v>0</v>
      </c>
      <c r="U29" s="13">
        <f t="shared" si="3"/>
        <v>0</v>
      </c>
      <c r="V29" s="13">
        <f t="shared" si="3"/>
        <v>0</v>
      </c>
      <c r="W29" s="13">
        <f t="shared" si="3"/>
        <v>0</v>
      </c>
      <c r="X29" s="13">
        <f t="shared" si="3"/>
        <v>0</v>
      </c>
      <c r="Y29" s="13">
        <f t="shared" si="3"/>
        <v>0</v>
      </c>
      <c r="Z29" s="13">
        <f t="shared" si="3"/>
        <v>0</v>
      </c>
      <c r="AA29" s="13">
        <f t="shared" si="3"/>
        <v>0</v>
      </c>
      <c r="AB29" s="13">
        <f t="shared" si="3"/>
        <v>0</v>
      </c>
      <c r="AC29" s="13">
        <f t="shared" si="3"/>
        <v>0</v>
      </c>
      <c r="AD29" s="13">
        <f t="shared" si="3"/>
        <v>0</v>
      </c>
      <c r="AE29" s="13">
        <f t="shared" si="3"/>
        <v>0</v>
      </c>
      <c r="AF29" s="13">
        <f t="shared" si="3"/>
        <v>0</v>
      </c>
      <c r="AG29" s="13">
        <f t="shared" si="3"/>
        <v>0</v>
      </c>
      <c r="AH29" s="13">
        <f t="shared" si="3"/>
        <v>0</v>
      </c>
      <c r="AI29" s="13">
        <f t="shared" si="3"/>
        <v>0</v>
      </c>
      <c r="AJ29" s="13">
        <f t="shared" si="3"/>
        <v>0</v>
      </c>
      <c r="AK29" s="13">
        <f t="shared" si="3"/>
        <v>0</v>
      </c>
      <c r="AL29" s="13">
        <f t="shared" si="3"/>
        <v>0</v>
      </c>
      <c r="AM29" s="13">
        <f t="shared" si="3"/>
        <v>0</v>
      </c>
      <c r="AN29" s="13">
        <f t="shared" si="3"/>
        <v>0</v>
      </c>
      <c r="AO29" s="13">
        <f t="shared" si="3"/>
        <v>0</v>
      </c>
      <c r="AP29" s="13">
        <f t="shared" si="3"/>
        <v>0</v>
      </c>
      <c r="AQ29" s="13">
        <f t="shared" si="3"/>
        <v>0</v>
      </c>
      <c r="AR29" s="13">
        <f t="shared" si="3"/>
        <v>0</v>
      </c>
      <c r="AS29" s="13">
        <f t="shared" si="3"/>
        <v>0</v>
      </c>
      <c r="AT29" s="13">
        <f t="shared" si="3"/>
        <v>0</v>
      </c>
      <c r="AU29" s="13">
        <f t="shared" si="3"/>
        <v>0</v>
      </c>
      <c r="AV29" s="13">
        <f t="shared" si="3"/>
        <v>0</v>
      </c>
      <c r="AW29" s="13">
        <f t="shared" si="3"/>
        <v>0</v>
      </c>
      <c r="AX29" s="13">
        <f t="shared" si="3"/>
        <v>0</v>
      </c>
      <c r="AY29" s="13">
        <f t="shared" si="3"/>
        <v>0</v>
      </c>
      <c r="AZ29" s="13">
        <f t="shared" si="3"/>
        <v>0</v>
      </c>
      <c r="BA29" s="13">
        <f t="shared" si="3"/>
        <v>0</v>
      </c>
      <c r="BB29" s="13">
        <f t="shared" si="3"/>
        <v>0</v>
      </c>
      <c r="BC29" s="13">
        <f t="shared" si="3"/>
        <v>0</v>
      </c>
      <c r="BD29" s="13">
        <f t="shared" si="3"/>
        <v>0</v>
      </c>
      <c r="BE29" s="13">
        <f t="shared" si="3"/>
        <v>0</v>
      </c>
      <c r="BF29" s="13">
        <f t="shared" si="3"/>
        <v>0</v>
      </c>
      <c r="BG29" s="13">
        <f t="shared" si="3"/>
        <v>0</v>
      </c>
    </row>
    <row r="30" spans="1:59" x14ac:dyDescent="0.25">
      <c r="R30" s="17">
        <f>R22-R23-R24</f>
        <v>0</v>
      </c>
      <c r="S30" s="17">
        <f t="shared" ref="S30:BG30" si="4">S22-S23-S24</f>
        <v>0</v>
      </c>
      <c r="T30" s="17">
        <f t="shared" si="4"/>
        <v>0</v>
      </c>
      <c r="U30" s="17">
        <f t="shared" si="4"/>
        <v>0</v>
      </c>
      <c r="V30" s="17">
        <f t="shared" si="4"/>
        <v>0</v>
      </c>
      <c r="W30" s="17">
        <f t="shared" si="4"/>
        <v>0</v>
      </c>
      <c r="X30" s="17">
        <f t="shared" si="4"/>
        <v>0</v>
      </c>
      <c r="Y30" s="17">
        <f t="shared" si="4"/>
        <v>0</v>
      </c>
      <c r="Z30" s="17">
        <f t="shared" si="4"/>
        <v>0</v>
      </c>
      <c r="AA30" s="17">
        <f t="shared" si="4"/>
        <v>0</v>
      </c>
      <c r="AB30" s="17">
        <f t="shared" si="4"/>
        <v>0</v>
      </c>
      <c r="AC30" s="17">
        <f t="shared" si="4"/>
        <v>0</v>
      </c>
      <c r="AD30" s="17">
        <f t="shared" si="4"/>
        <v>0</v>
      </c>
      <c r="AE30" s="17">
        <f t="shared" si="4"/>
        <v>0</v>
      </c>
      <c r="AF30" s="17">
        <f t="shared" si="4"/>
        <v>0</v>
      </c>
      <c r="AG30" s="17">
        <f t="shared" si="4"/>
        <v>0</v>
      </c>
      <c r="AH30" s="17">
        <f t="shared" si="4"/>
        <v>0</v>
      </c>
      <c r="AI30" s="17">
        <f t="shared" si="4"/>
        <v>0</v>
      </c>
      <c r="AJ30" s="17">
        <f t="shared" si="4"/>
        <v>0</v>
      </c>
      <c r="AK30" s="17">
        <f t="shared" si="4"/>
        <v>0</v>
      </c>
      <c r="AL30" s="17">
        <f t="shared" si="4"/>
        <v>0</v>
      </c>
      <c r="AM30" s="17">
        <f t="shared" si="4"/>
        <v>0</v>
      </c>
      <c r="AN30" s="17">
        <f t="shared" si="4"/>
        <v>0</v>
      </c>
      <c r="AO30" s="17">
        <f t="shared" si="4"/>
        <v>0</v>
      </c>
      <c r="AP30" s="17">
        <f t="shared" si="4"/>
        <v>0</v>
      </c>
      <c r="AQ30" s="17">
        <f t="shared" si="4"/>
        <v>0</v>
      </c>
      <c r="AR30" s="17">
        <f t="shared" si="4"/>
        <v>0</v>
      </c>
      <c r="AS30" s="17">
        <f t="shared" si="4"/>
        <v>0</v>
      </c>
      <c r="AT30" s="17">
        <f t="shared" si="4"/>
        <v>0</v>
      </c>
      <c r="AU30" s="17">
        <f t="shared" si="4"/>
        <v>0</v>
      </c>
      <c r="AV30" s="17">
        <f t="shared" si="4"/>
        <v>0</v>
      </c>
      <c r="AW30" s="17">
        <f t="shared" si="4"/>
        <v>0</v>
      </c>
      <c r="AX30" s="17">
        <f t="shared" si="4"/>
        <v>0</v>
      </c>
      <c r="AY30" s="17">
        <f t="shared" si="4"/>
        <v>0</v>
      </c>
      <c r="AZ30" s="17">
        <f t="shared" si="4"/>
        <v>0</v>
      </c>
      <c r="BA30" s="17">
        <f t="shared" si="4"/>
        <v>0</v>
      </c>
      <c r="BB30" s="17">
        <f t="shared" si="4"/>
        <v>0</v>
      </c>
      <c r="BC30" s="17">
        <f t="shared" si="4"/>
        <v>0</v>
      </c>
      <c r="BD30" s="17">
        <f t="shared" si="4"/>
        <v>0</v>
      </c>
      <c r="BE30" s="17">
        <f t="shared" si="4"/>
        <v>0</v>
      </c>
      <c r="BF30" s="17">
        <f t="shared" si="4"/>
        <v>0</v>
      </c>
      <c r="BG30" s="17">
        <f t="shared" si="4"/>
        <v>0</v>
      </c>
    </row>
  </sheetData>
  <conditionalFormatting sqref="B26:BG29">
    <cfRule type="cellIs" dxfId="3" priority="1" operator="notEqual">
      <formula>0</formula>
    </cfRule>
    <cfRule type="containsText" dxfId="2" priority="2" operator="containsText" text="FALSE">
      <formula>NOT(ISERROR(SEARCH("FALSE",B26)))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G62"/>
  <sheetViews>
    <sheetView workbookViewId="0">
      <pane xSplit="1" ySplit="1" topLeftCell="R35" activePane="bottomRight" state="frozen"/>
      <selection pane="topRight" activeCell="B1" sqref="B1"/>
      <selection pane="bottomLeft" activeCell="A2" sqref="A2"/>
      <selection pane="bottomRight" activeCell="A62" sqref="A62:XFD62"/>
    </sheetView>
  </sheetViews>
  <sheetFormatPr defaultColWidth="5.625" defaultRowHeight="15" x14ac:dyDescent="0.25"/>
  <cols>
    <col min="1" max="1" width="98.5" style="2" bestFit="1" customWidth="1"/>
    <col min="2" max="4" width="8.875" style="2" hidden="1" customWidth="1"/>
    <col min="5" max="5" width="9.5" style="2" hidden="1" customWidth="1"/>
    <col min="6" max="16" width="8.875" style="2" hidden="1" customWidth="1"/>
    <col min="17" max="17" width="9.5" style="2" hidden="1" customWidth="1"/>
    <col min="18" max="18" width="8.875" style="2" bestFit="1" customWidth="1"/>
    <col min="19" max="19" width="9.5" style="2" bestFit="1" customWidth="1"/>
    <col min="20" max="24" width="8.875" style="2" bestFit="1" customWidth="1"/>
    <col min="25" max="29" width="9.5" style="2" bestFit="1" customWidth="1"/>
    <col min="30" max="30" width="8.875" style="2" bestFit="1" customWidth="1"/>
    <col min="31" max="33" width="9.5" style="2" bestFit="1" customWidth="1"/>
    <col min="34" max="34" width="8.875" style="2" bestFit="1" customWidth="1"/>
    <col min="35" max="39" width="9.5" style="2" bestFit="1" customWidth="1"/>
    <col min="40" max="40" width="8.875" style="2" bestFit="1" customWidth="1"/>
    <col min="41" max="44" width="9.5" style="2" bestFit="1" customWidth="1"/>
    <col min="45" max="46" width="9.75" style="2" bestFit="1" customWidth="1"/>
    <col min="47" max="48" width="9.5" style="2" bestFit="1" customWidth="1"/>
    <col min="49" max="59" width="9.75" style="2" bestFit="1" customWidth="1"/>
    <col min="60" max="16384" width="5.625" style="2"/>
  </cols>
  <sheetData>
    <row r="1" spans="1:59" x14ac:dyDescent="0.25">
      <c r="B1" s="1" t="s">
        <v>127</v>
      </c>
      <c r="C1" s="1" t="s">
        <v>128</v>
      </c>
      <c r="D1" s="1" t="s">
        <v>129</v>
      </c>
      <c r="E1" s="1" t="s">
        <v>2</v>
      </c>
      <c r="F1" s="1" t="s">
        <v>3</v>
      </c>
      <c r="G1" s="1" t="s">
        <v>4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  <c r="AS1" s="1" t="s">
        <v>105</v>
      </c>
      <c r="AT1" s="1" t="s">
        <v>106</v>
      </c>
      <c r="AU1" s="1" t="s">
        <v>107</v>
      </c>
      <c r="AV1" s="1" t="s">
        <v>108</v>
      </c>
      <c r="AW1" s="1" t="s">
        <v>109</v>
      </c>
      <c r="AX1" s="1" t="s">
        <v>110</v>
      </c>
      <c r="AY1" s="1" t="s">
        <v>111</v>
      </c>
      <c r="AZ1" s="1" t="s">
        <v>112</v>
      </c>
      <c r="BA1" s="1" t="s">
        <v>113</v>
      </c>
      <c r="BB1" s="1" t="s">
        <v>114</v>
      </c>
      <c r="BC1" s="1" t="s">
        <v>115</v>
      </c>
      <c r="BD1" s="1" t="s">
        <v>116</v>
      </c>
      <c r="BE1" s="1" t="s">
        <v>117</v>
      </c>
      <c r="BF1" s="1" t="s">
        <v>125</v>
      </c>
      <c r="BG1" s="1" t="s">
        <v>126</v>
      </c>
    </row>
    <row r="2" spans="1:59" x14ac:dyDescent="0.25">
      <c r="A2" s="3" t="s">
        <v>153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x14ac:dyDescent="0.25">
      <c r="A3" s="5" t="s">
        <v>154</v>
      </c>
      <c r="B3" s="6">
        <v>4112238</v>
      </c>
      <c r="C3" s="6">
        <v>4891526</v>
      </c>
      <c r="D3" s="6">
        <v>3772357</v>
      </c>
      <c r="E3" s="6">
        <v>3423398</v>
      </c>
      <c r="F3" s="6">
        <v>3802339</v>
      </c>
      <c r="G3" s="6">
        <v>2111682</v>
      </c>
      <c r="H3" s="6">
        <v>4517070</v>
      </c>
      <c r="I3" s="6">
        <v>3488893</v>
      </c>
      <c r="J3" s="6">
        <v>2923292</v>
      </c>
      <c r="K3" s="6">
        <v>3164696</v>
      </c>
      <c r="L3" s="6">
        <v>3545620</v>
      </c>
      <c r="M3" s="6">
        <v>5213403</v>
      </c>
      <c r="N3" s="6">
        <v>3562701</v>
      </c>
      <c r="O3" s="6">
        <v>2924647</v>
      </c>
      <c r="P3" s="6">
        <v>2802416</v>
      </c>
      <c r="Q3" s="6">
        <v>4379913</v>
      </c>
      <c r="R3" s="6">
        <v>3452355</v>
      </c>
      <c r="S3" s="6">
        <v>3022698</v>
      </c>
      <c r="T3" s="6">
        <v>3587861</v>
      </c>
      <c r="U3" s="6">
        <v>4727374</v>
      </c>
      <c r="V3" s="6">
        <v>3954371</v>
      </c>
      <c r="W3" s="6">
        <v>3629078</v>
      </c>
      <c r="X3" s="6">
        <v>3667627</v>
      </c>
      <c r="Y3" s="6">
        <v>6459228</v>
      </c>
      <c r="Z3" s="6">
        <v>4456617</v>
      </c>
      <c r="AA3" s="6">
        <v>4644611</v>
      </c>
      <c r="AB3" s="6">
        <v>4314036</v>
      </c>
      <c r="AC3" s="6">
        <v>5874100</v>
      </c>
      <c r="AD3" s="6">
        <v>6859072</v>
      </c>
      <c r="AE3" s="6">
        <v>6033710</v>
      </c>
      <c r="AF3" s="6">
        <v>6019207</v>
      </c>
      <c r="AG3" s="6">
        <v>6724479</v>
      </c>
      <c r="AH3" s="6">
        <v>5607415</v>
      </c>
      <c r="AI3" s="6">
        <v>7681446</v>
      </c>
      <c r="AJ3" s="6">
        <v>7323435</v>
      </c>
      <c r="AK3" s="6">
        <v>8321011</v>
      </c>
      <c r="AL3" s="6">
        <v>7398045</v>
      </c>
      <c r="AM3" s="6">
        <v>8602954</v>
      </c>
      <c r="AN3" s="6">
        <v>8508891</v>
      </c>
      <c r="AO3" s="6">
        <v>10714369</v>
      </c>
      <c r="AP3" s="6">
        <v>8329122</v>
      </c>
      <c r="AQ3" s="6">
        <v>9950058</v>
      </c>
      <c r="AR3" s="6">
        <v>11772863</v>
      </c>
      <c r="AS3" s="6">
        <v>13506346</v>
      </c>
      <c r="AT3" s="6">
        <v>12873102</v>
      </c>
      <c r="AU3" s="6">
        <v>12760883</v>
      </c>
      <c r="AV3" s="6">
        <v>14171841</v>
      </c>
      <c r="AW3" s="6">
        <v>13943539</v>
      </c>
      <c r="AX3" s="6">
        <v>12786488</v>
      </c>
      <c r="AY3" s="6">
        <v>13665421</v>
      </c>
      <c r="AZ3" s="6">
        <v>14499039</v>
      </c>
      <c r="BA3" s="6">
        <v>20797973</v>
      </c>
      <c r="BB3" s="6">
        <v>14066961</v>
      </c>
      <c r="BC3" s="6">
        <v>16217877</v>
      </c>
      <c r="BD3" s="6">
        <v>16500085</v>
      </c>
      <c r="BE3" s="6">
        <v>20446205</v>
      </c>
      <c r="BF3" s="6">
        <v>19598279</v>
      </c>
      <c r="BG3" s="6">
        <v>21787810</v>
      </c>
    </row>
    <row r="4" spans="1:59" x14ac:dyDescent="0.25">
      <c r="A4" s="5" t="s">
        <v>155</v>
      </c>
      <c r="B4" s="6">
        <v>-3295822</v>
      </c>
      <c r="C4" s="6">
        <v>-3089451</v>
      </c>
      <c r="D4" s="6">
        <v>6375936</v>
      </c>
      <c r="E4" s="6">
        <v>-12260877</v>
      </c>
      <c r="F4" s="6">
        <v>-2659748</v>
      </c>
      <c r="G4" s="6">
        <v>-2052597</v>
      </c>
      <c r="H4" s="6">
        <v>-2566824</v>
      </c>
      <c r="I4" s="6">
        <v>-1874466</v>
      </c>
      <c r="J4" s="6">
        <v>-1432965</v>
      </c>
      <c r="K4" s="6">
        <v>-1847627</v>
      </c>
      <c r="L4" s="6">
        <v>-2349294</v>
      </c>
      <c r="M4" s="6">
        <v>-1482415</v>
      </c>
      <c r="N4" s="6">
        <v>-1716695</v>
      </c>
      <c r="O4" s="6">
        <v>-1440186</v>
      </c>
      <c r="P4" s="6">
        <v>-1445138</v>
      </c>
      <c r="Q4" s="6">
        <v>-1385905</v>
      </c>
      <c r="R4" s="6">
        <v>-1554580</v>
      </c>
      <c r="S4" s="6">
        <v>-1622099</v>
      </c>
      <c r="T4" s="6">
        <v>-2104231</v>
      </c>
      <c r="U4" s="6">
        <v>-2204029</v>
      </c>
      <c r="V4" s="6">
        <v>-1985343</v>
      </c>
      <c r="W4" s="6">
        <v>-1739074</v>
      </c>
      <c r="X4" s="6">
        <v>-2058115</v>
      </c>
      <c r="Y4" s="6">
        <v>-2312980</v>
      </c>
      <c r="Z4" s="6">
        <v>-2336864</v>
      </c>
      <c r="AA4" s="6">
        <v>-2194066</v>
      </c>
      <c r="AB4" s="6">
        <v>-2077215</v>
      </c>
      <c r="AC4" s="6">
        <v>-2755281</v>
      </c>
      <c r="AD4" s="6">
        <v>-2558130</v>
      </c>
      <c r="AE4" s="6">
        <v>-2442644</v>
      </c>
      <c r="AF4" s="6">
        <v>-2938202</v>
      </c>
      <c r="AG4" s="6">
        <v>-2926037</v>
      </c>
      <c r="AH4" s="6">
        <v>-2636032</v>
      </c>
      <c r="AI4" s="6">
        <v>-2353742</v>
      </c>
      <c r="AJ4" s="6">
        <v>-2607678</v>
      </c>
      <c r="AK4" s="6">
        <v>-2558040</v>
      </c>
      <c r="AL4" s="6">
        <v>-2396944</v>
      </c>
      <c r="AM4" s="6">
        <v>-2352866</v>
      </c>
      <c r="AN4" s="6">
        <v>-1951267</v>
      </c>
      <c r="AO4" s="6">
        <v>-2365413</v>
      </c>
      <c r="AP4" s="6">
        <v>-2356223</v>
      </c>
      <c r="AQ4" s="6">
        <v>-2908629</v>
      </c>
      <c r="AR4" s="6">
        <v>-2551439</v>
      </c>
      <c r="AS4" s="6">
        <v>-4368799</v>
      </c>
      <c r="AT4" s="6">
        <v>-4863363</v>
      </c>
      <c r="AU4" s="6">
        <v>-7537443</v>
      </c>
      <c r="AV4" s="6">
        <v>-6980631</v>
      </c>
      <c r="AW4" s="6">
        <v>-6560474</v>
      </c>
      <c r="AX4" s="6">
        <v>-7333678</v>
      </c>
      <c r="AY4" s="6">
        <v>-6426065</v>
      </c>
      <c r="AZ4" s="6">
        <v>-5847446</v>
      </c>
      <c r="BA4" s="6">
        <v>-6480895</v>
      </c>
      <c r="BB4" s="6">
        <v>-5978921</v>
      </c>
      <c r="BC4" s="6">
        <v>-7377543</v>
      </c>
      <c r="BD4" s="6">
        <v>-7027917</v>
      </c>
      <c r="BE4" s="6">
        <v>-7377237</v>
      </c>
      <c r="BF4" s="6">
        <v>-8293092</v>
      </c>
      <c r="BG4" s="6">
        <v>-10196914</v>
      </c>
    </row>
    <row r="5" spans="1:59" x14ac:dyDescent="0.25">
      <c r="A5" s="5" t="s">
        <v>156</v>
      </c>
      <c r="B5" s="6">
        <v>147425</v>
      </c>
      <c r="C5" s="6">
        <v>227988</v>
      </c>
      <c r="D5" s="6">
        <v>151149</v>
      </c>
      <c r="E5" s="6">
        <v>38841</v>
      </c>
      <c r="F5" s="6">
        <v>122481</v>
      </c>
      <c r="G5" s="6">
        <v>244274</v>
      </c>
      <c r="H5" s="6">
        <v>151094</v>
      </c>
      <c r="I5" s="6">
        <v>218394</v>
      </c>
      <c r="J5" s="6">
        <v>435065</v>
      </c>
      <c r="K5" s="6">
        <v>215451</v>
      </c>
      <c r="L5" s="6">
        <v>240048</v>
      </c>
      <c r="M5" s="6">
        <v>232019</v>
      </c>
      <c r="N5" s="6">
        <v>218579</v>
      </c>
      <c r="O5" s="6">
        <v>232479</v>
      </c>
      <c r="P5" s="6">
        <v>337047</v>
      </c>
      <c r="Q5" s="6">
        <v>350870</v>
      </c>
      <c r="R5" s="6">
        <v>327509</v>
      </c>
      <c r="S5" s="6">
        <v>304167</v>
      </c>
      <c r="T5" s="6">
        <v>279550</v>
      </c>
      <c r="U5" s="6">
        <v>1044538</v>
      </c>
      <c r="V5" s="6">
        <v>521859</v>
      </c>
      <c r="W5" s="6">
        <v>524484</v>
      </c>
      <c r="X5" s="6">
        <v>554191</v>
      </c>
      <c r="Y5" s="6">
        <v>2146620</v>
      </c>
      <c r="Z5" s="6">
        <v>491695</v>
      </c>
      <c r="AA5" s="6">
        <v>687924</v>
      </c>
      <c r="AB5" s="6">
        <v>933786</v>
      </c>
      <c r="AC5" s="6">
        <v>1422599</v>
      </c>
      <c r="AD5" s="6">
        <v>752390</v>
      </c>
      <c r="AE5" s="6">
        <v>695659</v>
      </c>
      <c r="AF5" s="6">
        <v>654279</v>
      </c>
      <c r="AG5" s="6">
        <v>1109095</v>
      </c>
      <c r="AH5" s="6">
        <v>1186828</v>
      </c>
      <c r="AI5" s="6">
        <v>962683</v>
      </c>
      <c r="AJ5" s="6">
        <v>1029644</v>
      </c>
      <c r="AK5" s="6">
        <v>961154</v>
      </c>
      <c r="AL5" s="6">
        <v>1568444</v>
      </c>
      <c r="AM5" s="6">
        <v>1424554</v>
      </c>
      <c r="AN5" s="6">
        <v>1677193</v>
      </c>
      <c r="AO5" s="6">
        <v>1288225</v>
      </c>
      <c r="AP5" s="6">
        <v>2701825</v>
      </c>
      <c r="AQ5" s="6">
        <v>2165253</v>
      </c>
      <c r="AR5" s="6">
        <v>1224868</v>
      </c>
      <c r="AS5" s="6">
        <v>2359787</v>
      </c>
      <c r="AT5" s="6">
        <v>2158750</v>
      </c>
      <c r="AU5" s="6">
        <v>2259808</v>
      </c>
      <c r="AV5" s="6">
        <v>2150240</v>
      </c>
      <c r="AW5" s="6">
        <v>2565954</v>
      </c>
      <c r="AX5" s="6">
        <v>2101170</v>
      </c>
      <c r="AY5" s="6">
        <v>2099012</v>
      </c>
      <c r="AZ5" s="6">
        <v>1967038</v>
      </c>
      <c r="BA5" s="6">
        <v>1476333</v>
      </c>
      <c r="BB5" s="6">
        <v>1774998</v>
      </c>
      <c r="BC5" s="6">
        <v>1992435</v>
      </c>
      <c r="BD5" s="6">
        <v>2280122</v>
      </c>
      <c r="BE5" s="6">
        <v>2349391</v>
      </c>
      <c r="BF5" s="6">
        <v>2854668</v>
      </c>
      <c r="BG5" s="6">
        <v>3855143</v>
      </c>
    </row>
    <row r="6" spans="1:59" x14ac:dyDescent="0.25">
      <c r="A6" s="5" t="s">
        <v>157</v>
      </c>
      <c r="B6" s="6">
        <v>113655</v>
      </c>
      <c r="C6" s="6">
        <v>-138263</v>
      </c>
      <c r="D6" s="6">
        <v>-200967</v>
      </c>
      <c r="E6" s="6">
        <v>101228</v>
      </c>
      <c r="F6" s="6">
        <v>76223</v>
      </c>
      <c r="G6" s="6">
        <v>80961</v>
      </c>
      <c r="H6" s="6">
        <v>-21643</v>
      </c>
      <c r="I6" s="6">
        <v>9005</v>
      </c>
      <c r="J6" s="6">
        <v>91102</v>
      </c>
      <c r="K6" s="6">
        <v>-8597</v>
      </c>
      <c r="L6" s="6">
        <v>439265</v>
      </c>
      <c r="M6" s="6">
        <v>-323991</v>
      </c>
      <c r="N6" s="6">
        <v>219370</v>
      </c>
      <c r="O6" s="6">
        <v>-21880</v>
      </c>
      <c r="P6" s="6">
        <v>-59432</v>
      </c>
      <c r="Q6" s="6">
        <v>223333</v>
      </c>
      <c r="R6" s="6">
        <v>220164</v>
      </c>
      <c r="S6" s="6">
        <v>163819</v>
      </c>
      <c r="T6" s="6">
        <v>220944</v>
      </c>
      <c r="U6" s="6">
        <v>229924</v>
      </c>
      <c r="V6" s="6">
        <v>369756</v>
      </c>
      <c r="W6" s="6">
        <v>261844</v>
      </c>
      <c r="X6" s="6">
        <v>510371</v>
      </c>
      <c r="Y6" s="6">
        <v>493223</v>
      </c>
      <c r="Z6" s="6">
        <v>509749</v>
      </c>
      <c r="AA6" s="6">
        <v>401406</v>
      </c>
      <c r="AB6" s="6">
        <v>218307</v>
      </c>
      <c r="AC6" s="6">
        <v>180839</v>
      </c>
      <c r="AD6" s="6">
        <v>276784</v>
      </c>
      <c r="AE6" s="6">
        <v>286926</v>
      </c>
      <c r="AF6" s="6">
        <v>494898</v>
      </c>
      <c r="AG6" s="6">
        <v>645261</v>
      </c>
      <c r="AH6" s="6">
        <v>781672</v>
      </c>
      <c r="AI6" s="6">
        <v>147572</v>
      </c>
      <c r="AJ6" s="6">
        <v>526505</v>
      </c>
      <c r="AK6" s="6">
        <v>441447</v>
      </c>
      <c r="AL6" s="6">
        <v>977495</v>
      </c>
      <c r="AM6" s="6">
        <v>645972</v>
      </c>
      <c r="AN6" s="6">
        <v>536790</v>
      </c>
      <c r="AO6" s="6">
        <v>341965</v>
      </c>
      <c r="AP6" s="6">
        <v>277060</v>
      </c>
      <c r="AQ6" s="6">
        <v>8441</v>
      </c>
      <c r="AR6" s="6">
        <v>52003</v>
      </c>
      <c r="AS6" s="6">
        <v>-758499</v>
      </c>
      <c r="AT6" s="6">
        <v>-244529</v>
      </c>
      <c r="AU6" s="6">
        <v>71337</v>
      </c>
      <c r="AV6" s="6">
        <v>736233</v>
      </c>
      <c r="AW6" s="6">
        <v>605464</v>
      </c>
      <c r="AX6" s="6">
        <v>1611181</v>
      </c>
      <c r="AY6" s="6">
        <v>1181165</v>
      </c>
      <c r="AZ6" s="6">
        <v>378272</v>
      </c>
      <c r="BA6" s="6">
        <v>-20600</v>
      </c>
      <c r="BB6" s="6">
        <v>1054270</v>
      </c>
      <c r="BC6" s="6">
        <v>1085080</v>
      </c>
      <c r="BD6" s="6">
        <v>1339137</v>
      </c>
      <c r="BE6" s="6">
        <v>999540</v>
      </c>
      <c r="BF6" s="6">
        <v>865683</v>
      </c>
      <c r="BG6" s="6">
        <v>383834</v>
      </c>
    </row>
    <row r="7" spans="1:59" x14ac:dyDescent="0.25">
      <c r="A7" s="5" t="s">
        <v>158</v>
      </c>
      <c r="B7" s="6">
        <v>-87827</v>
      </c>
      <c r="C7" s="6">
        <v>-405168</v>
      </c>
      <c r="D7" s="6">
        <v>-251968</v>
      </c>
      <c r="E7" s="6">
        <v>898252</v>
      </c>
      <c r="F7" s="6">
        <v>-690651</v>
      </c>
      <c r="G7" s="6">
        <v>48935</v>
      </c>
      <c r="H7" s="6">
        <v>-375353</v>
      </c>
      <c r="I7" s="6">
        <v>-313697</v>
      </c>
      <c r="J7" s="6">
        <v>-657239</v>
      </c>
      <c r="K7" s="6">
        <v>-304329</v>
      </c>
      <c r="L7" s="6">
        <v>1096822</v>
      </c>
      <c r="M7" s="6">
        <v>-126807</v>
      </c>
      <c r="N7" s="6">
        <v>327260</v>
      </c>
      <c r="O7" s="6">
        <v>-129415</v>
      </c>
      <c r="P7" s="6">
        <v>182678</v>
      </c>
      <c r="Q7" s="6">
        <v>216221</v>
      </c>
      <c r="R7" s="6">
        <v>576536</v>
      </c>
      <c r="S7" s="6">
        <v>102045</v>
      </c>
      <c r="T7" s="6">
        <v>195451</v>
      </c>
      <c r="U7" s="6">
        <v>-304394</v>
      </c>
      <c r="V7" s="6">
        <v>144944</v>
      </c>
      <c r="W7" s="6">
        <v>379469</v>
      </c>
      <c r="X7" s="6">
        <v>11282</v>
      </c>
      <c r="Y7" s="6">
        <v>62376</v>
      </c>
      <c r="Z7" s="6">
        <v>67951</v>
      </c>
      <c r="AA7" s="6">
        <v>53886</v>
      </c>
      <c r="AB7" s="6">
        <v>114824</v>
      </c>
      <c r="AC7" s="6">
        <v>-25779</v>
      </c>
      <c r="AD7" s="6">
        <v>87765</v>
      </c>
      <c r="AE7" s="6">
        <v>255877</v>
      </c>
      <c r="AF7" s="6">
        <v>128016</v>
      </c>
      <c r="AG7" s="6">
        <v>13366</v>
      </c>
      <c r="AH7" s="6">
        <v>206942</v>
      </c>
      <c r="AI7" s="6">
        <v>368999</v>
      </c>
      <c r="AJ7" s="6">
        <v>226496</v>
      </c>
      <c r="AK7" s="6">
        <v>387996</v>
      </c>
      <c r="AL7" s="6">
        <v>273652</v>
      </c>
      <c r="AM7" s="6">
        <v>166744</v>
      </c>
      <c r="AN7" s="6">
        <v>-41934</v>
      </c>
      <c r="AO7" s="6">
        <v>417766</v>
      </c>
      <c r="AP7" s="6">
        <v>198451</v>
      </c>
      <c r="AQ7" s="6">
        <v>66809</v>
      </c>
      <c r="AR7" s="6">
        <v>190970</v>
      </c>
      <c r="AS7" s="6">
        <v>149716</v>
      </c>
      <c r="AT7" s="6">
        <v>733547</v>
      </c>
      <c r="AU7" s="6">
        <v>502142</v>
      </c>
      <c r="AV7" s="6">
        <v>198229</v>
      </c>
      <c r="AW7" s="6">
        <v>-49302</v>
      </c>
      <c r="AX7" s="6">
        <v>-1032838</v>
      </c>
      <c r="AY7" s="6">
        <v>-285470</v>
      </c>
      <c r="AZ7" s="6">
        <v>37289</v>
      </c>
      <c r="BA7" s="6">
        <v>-1078660</v>
      </c>
      <c r="BB7" s="6">
        <v>-102654</v>
      </c>
      <c r="BC7" s="6">
        <v>6371</v>
      </c>
      <c r="BD7" s="6">
        <v>5713</v>
      </c>
      <c r="BE7" s="6">
        <v>186814</v>
      </c>
      <c r="BF7" s="6">
        <v>-232677</v>
      </c>
      <c r="BG7" s="6">
        <v>378380</v>
      </c>
    </row>
    <row r="8" spans="1:59" x14ac:dyDescent="0.25">
      <c r="A8" s="5" t="s">
        <v>159</v>
      </c>
      <c r="B8" s="6">
        <v>2314</v>
      </c>
      <c r="C8" s="6">
        <v>8184</v>
      </c>
      <c r="D8" s="6">
        <v>5270</v>
      </c>
      <c r="E8" s="6">
        <v>37140</v>
      </c>
      <c r="F8" s="6">
        <v>3815</v>
      </c>
      <c r="G8" s="6">
        <v>31474</v>
      </c>
      <c r="H8" s="6">
        <v>12769</v>
      </c>
      <c r="I8" s="6">
        <v>15334</v>
      </c>
      <c r="J8" s="6">
        <v>14405</v>
      </c>
      <c r="K8" s="6">
        <v>5004</v>
      </c>
      <c r="L8" s="6">
        <v>19351</v>
      </c>
      <c r="M8" s="6">
        <v>16066</v>
      </c>
      <c r="N8" s="6">
        <v>229115</v>
      </c>
      <c r="O8" s="6">
        <v>102438</v>
      </c>
      <c r="P8" s="6">
        <v>79372</v>
      </c>
      <c r="Q8" s="6">
        <v>32184</v>
      </c>
      <c r="R8" s="6">
        <v>24013</v>
      </c>
      <c r="S8" s="6">
        <v>59277</v>
      </c>
      <c r="T8" s="6">
        <v>109798</v>
      </c>
      <c r="U8" s="6">
        <v>211107</v>
      </c>
      <c r="V8" s="6">
        <v>88286</v>
      </c>
      <c r="W8" s="6">
        <v>151758</v>
      </c>
      <c r="X8" s="6">
        <v>291937</v>
      </c>
      <c r="Y8" s="6">
        <v>584839</v>
      </c>
      <c r="Z8" s="6">
        <v>161353</v>
      </c>
      <c r="AA8" s="6">
        <v>309911</v>
      </c>
      <c r="AB8" s="6">
        <v>345476</v>
      </c>
      <c r="AC8" s="6">
        <v>606155</v>
      </c>
      <c r="AD8" s="6">
        <v>157810</v>
      </c>
      <c r="AE8" s="6">
        <v>267011</v>
      </c>
      <c r="AF8" s="6">
        <v>193934</v>
      </c>
      <c r="AG8" s="6">
        <v>461481</v>
      </c>
      <c r="AH8" s="6">
        <v>136222</v>
      </c>
      <c r="AI8" s="6">
        <v>125561</v>
      </c>
      <c r="AJ8" s="6">
        <v>575070</v>
      </c>
      <c r="AK8" s="6">
        <v>422800</v>
      </c>
      <c r="AL8" s="6">
        <v>442094</v>
      </c>
      <c r="AM8" s="6">
        <v>268916</v>
      </c>
      <c r="AN8" s="6">
        <v>145948</v>
      </c>
      <c r="AO8" s="6">
        <v>264277</v>
      </c>
      <c r="AP8" s="6">
        <v>320117</v>
      </c>
      <c r="AQ8" s="6">
        <v>526428</v>
      </c>
      <c r="AR8" s="6">
        <v>258070</v>
      </c>
      <c r="AS8" s="6">
        <v>206438</v>
      </c>
      <c r="AT8" s="6">
        <v>119251</v>
      </c>
      <c r="AU8" s="6">
        <v>192802</v>
      </c>
      <c r="AV8" s="6">
        <v>207889</v>
      </c>
      <c r="AW8" s="6">
        <v>311848</v>
      </c>
      <c r="AX8" s="6">
        <v>143683</v>
      </c>
      <c r="AY8" s="6">
        <v>294102</v>
      </c>
      <c r="AZ8" s="6">
        <v>391342</v>
      </c>
      <c r="BA8" s="6">
        <v>309073</v>
      </c>
      <c r="BB8" s="6">
        <v>286808</v>
      </c>
      <c r="BC8" s="6">
        <v>252745</v>
      </c>
      <c r="BD8" s="6">
        <v>561070</v>
      </c>
      <c r="BE8" s="6">
        <v>253663</v>
      </c>
      <c r="BF8" s="6">
        <v>177395</v>
      </c>
      <c r="BG8" s="6">
        <v>197174</v>
      </c>
    </row>
    <row r="9" spans="1:59" x14ac:dyDescent="0.25">
      <c r="A9" s="5" t="s">
        <v>160</v>
      </c>
      <c r="B9" s="6">
        <v>-529190</v>
      </c>
      <c r="C9" s="6">
        <v>-281858</v>
      </c>
      <c r="D9" s="6">
        <v>-249485</v>
      </c>
      <c r="E9" s="6">
        <v>-2029160</v>
      </c>
      <c r="F9" s="6">
        <v>137147</v>
      </c>
      <c r="G9" s="6">
        <v>-806214</v>
      </c>
      <c r="H9" s="6">
        <v>-252563</v>
      </c>
      <c r="I9" s="6">
        <v>-371164</v>
      </c>
      <c r="J9" s="6">
        <v>-475476</v>
      </c>
      <c r="K9" s="6">
        <v>-339691</v>
      </c>
      <c r="L9" s="6">
        <v>-1682271</v>
      </c>
      <c r="M9" s="6">
        <v>-607013</v>
      </c>
      <c r="N9" s="6">
        <v>628644</v>
      </c>
      <c r="O9" s="6">
        <v>-2037172</v>
      </c>
      <c r="P9" s="6">
        <v>-868302</v>
      </c>
      <c r="Q9" s="6">
        <v>-1187799</v>
      </c>
      <c r="R9" s="6">
        <v>-976811</v>
      </c>
      <c r="S9" s="6">
        <v>-979188</v>
      </c>
      <c r="T9" s="6">
        <v>-1186240</v>
      </c>
      <c r="U9" s="6">
        <v>-351272</v>
      </c>
      <c r="V9" s="6">
        <v>-856740</v>
      </c>
      <c r="W9" s="6">
        <v>-1399735</v>
      </c>
      <c r="X9" s="6">
        <v>-900884</v>
      </c>
      <c r="Y9" s="6">
        <v>-1010749</v>
      </c>
      <c r="Z9" s="6">
        <v>-1542108</v>
      </c>
      <c r="AA9" s="6">
        <v>-635746</v>
      </c>
      <c r="AB9" s="6">
        <v>-896635</v>
      </c>
      <c r="AC9" s="6">
        <v>-1357530</v>
      </c>
      <c r="AD9" s="6">
        <v>-1717352</v>
      </c>
      <c r="AE9" s="6">
        <v>-1019826</v>
      </c>
      <c r="AF9" s="6">
        <v>-1240079</v>
      </c>
      <c r="AG9" s="6">
        <v>-1587922</v>
      </c>
      <c r="AH9" s="6">
        <v>-2260756</v>
      </c>
      <c r="AI9" s="6">
        <v>-1412076</v>
      </c>
      <c r="AJ9" s="6">
        <v>-1902290</v>
      </c>
      <c r="AK9" s="6">
        <v>-1177150</v>
      </c>
      <c r="AL9" s="6">
        <v>-2635702</v>
      </c>
      <c r="AM9" s="6">
        <v>-2121386</v>
      </c>
      <c r="AN9" s="6">
        <v>-1710991</v>
      </c>
      <c r="AO9" s="6">
        <v>-2218783</v>
      </c>
      <c r="AP9" s="6">
        <v>-3389035</v>
      </c>
      <c r="AQ9" s="6">
        <v>-1504576</v>
      </c>
      <c r="AR9" s="6">
        <v>-2238318</v>
      </c>
      <c r="AS9" s="6">
        <v>-2874144</v>
      </c>
      <c r="AT9" s="6">
        <v>-3632369</v>
      </c>
      <c r="AU9" s="6">
        <v>-2365780</v>
      </c>
      <c r="AV9" s="6">
        <v>-2492922</v>
      </c>
      <c r="AW9" s="6">
        <v>-1848294</v>
      </c>
      <c r="AX9" s="6">
        <v>-3273550</v>
      </c>
      <c r="AY9" s="6">
        <v>-2245096</v>
      </c>
      <c r="AZ9" s="6">
        <v>-1919821</v>
      </c>
      <c r="BA9" s="6">
        <v>-2667704</v>
      </c>
      <c r="BB9" s="6">
        <v>-4603082</v>
      </c>
      <c r="BC9" s="6">
        <v>-3160841</v>
      </c>
      <c r="BD9" s="6">
        <v>-3046546</v>
      </c>
      <c r="BE9" s="6">
        <v>-2516217</v>
      </c>
      <c r="BF9" s="6">
        <v>-4607109</v>
      </c>
      <c r="BG9" s="6">
        <v>-3484918</v>
      </c>
    </row>
    <row r="10" spans="1:59" x14ac:dyDescent="0.25">
      <c r="A10" s="5" t="s">
        <v>161</v>
      </c>
      <c r="B10" s="6">
        <v>-823813</v>
      </c>
      <c r="C10" s="6">
        <v>-101562</v>
      </c>
      <c r="D10" s="6">
        <v>-153110</v>
      </c>
      <c r="E10" s="6">
        <v>-189387</v>
      </c>
      <c r="F10" s="6">
        <v>-6605</v>
      </c>
      <c r="G10" s="6">
        <v>-5045</v>
      </c>
      <c r="H10" s="6">
        <v>-19447</v>
      </c>
      <c r="I10" s="6">
        <v>-7237</v>
      </c>
      <c r="J10" s="4">
        <v>-641</v>
      </c>
      <c r="K10" s="6">
        <v>-145440</v>
      </c>
      <c r="L10" s="6">
        <v>-43123</v>
      </c>
      <c r="M10" s="6">
        <v>-28330</v>
      </c>
      <c r="N10" s="6">
        <v>-86599</v>
      </c>
      <c r="O10" s="6">
        <v>-77165</v>
      </c>
      <c r="P10" s="6">
        <v>-101703</v>
      </c>
      <c r="Q10" s="6">
        <v>-115828</v>
      </c>
      <c r="R10" s="6">
        <v>-184467</v>
      </c>
      <c r="S10" s="6">
        <v>-71678</v>
      </c>
      <c r="T10" s="6">
        <v>-184973</v>
      </c>
      <c r="U10" s="6">
        <v>-279974</v>
      </c>
      <c r="V10" s="6">
        <v>-307198</v>
      </c>
      <c r="W10" s="6">
        <v>-156781</v>
      </c>
      <c r="X10" s="6">
        <v>-283052</v>
      </c>
      <c r="Y10" s="6">
        <v>-287498</v>
      </c>
      <c r="Z10" s="6">
        <v>-850636</v>
      </c>
      <c r="AA10" s="6">
        <v>-319364</v>
      </c>
      <c r="AB10" s="6">
        <v>-358451</v>
      </c>
      <c r="AC10" s="6">
        <v>-612307</v>
      </c>
      <c r="AD10" s="6">
        <v>-908222</v>
      </c>
      <c r="AE10" s="6">
        <v>-517741</v>
      </c>
      <c r="AF10" s="6">
        <v>-333212</v>
      </c>
      <c r="AG10" s="6">
        <v>-919744</v>
      </c>
      <c r="AH10" s="6">
        <v>-849614</v>
      </c>
      <c r="AI10" s="6">
        <v>-32225</v>
      </c>
      <c r="AJ10" s="6">
        <v>-611851</v>
      </c>
      <c r="AK10" s="6">
        <v>-1388211</v>
      </c>
      <c r="AL10" s="6">
        <v>-1275402</v>
      </c>
      <c r="AM10" s="6">
        <v>-157037</v>
      </c>
      <c r="AN10" s="6">
        <v>-827057</v>
      </c>
      <c r="AO10" s="6">
        <v>-2570415</v>
      </c>
      <c r="AP10" s="6">
        <v>-1211307</v>
      </c>
      <c r="AQ10" s="6">
        <v>-893780</v>
      </c>
      <c r="AR10" s="6">
        <v>-184409</v>
      </c>
      <c r="AS10" s="6">
        <v>-11898</v>
      </c>
      <c r="AT10" s="6">
        <v>-4099311</v>
      </c>
      <c r="AU10" s="6">
        <v>-185489</v>
      </c>
      <c r="AV10" s="6">
        <v>-654684</v>
      </c>
      <c r="AW10" s="6">
        <v>-109452</v>
      </c>
      <c r="AX10" s="6">
        <v>-3659936</v>
      </c>
      <c r="AY10" s="6">
        <v>-266835</v>
      </c>
      <c r="AZ10" s="6">
        <v>-104524</v>
      </c>
      <c r="BA10" s="6">
        <v>-58026</v>
      </c>
      <c r="BB10" s="6">
        <v>-5409700</v>
      </c>
      <c r="BC10" s="6">
        <v>-775924</v>
      </c>
      <c r="BD10" s="6">
        <v>-970902</v>
      </c>
      <c r="BE10" s="6">
        <v>-21215</v>
      </c>
      <c r="BF10" s="6">
        <v>-4607917</v>
      </c>
      <c r="BG10" s="6">
        <v>-776383</v>
      </c>
    </row>
    <row r="11" spans="1:59" x14ac:dyDescent="0.25">
      <c r="A11" s="5" t="s">
        <v>162</v>
      </c>
      <c r="B11" s="6">
        <v>-361019</v>
      </c>
      <c r="C11" s="6">
        <v>1111396</v>
      </c>
      <c r="D11" s="6">
        <v>9449182</v>
      </c>
      <c r="E11" s="6">
        <v>-9980565</v>
      </c>
      <c r="F11" s="6">
        <v>785001</v>
      </c>
      <c r="G11" s="6">
        <v>-346530</v>
      </c>
      <c r="H11" s="6">
        <v>1445103</v>
      </c>
      <c r="I11" s="6">
        <v>1165062</v>
      </c>
      <c r="J11" s="6">
        <v>897543</v>
      </c>
      <c r="K11" s="6">
        <v>739467</v>
      </c>
      <c r="L11" s="6">
        <v>1266418</v>
      </c>
      <c r="M11" s="6">
        <v>2892932</v>
      </c>
      <c r="N11" s="6">
        <v>3382375</v>
      </c>
      <c r="O11" s="6">
        <v>-446254</v>
      </c>
      <c r="P11" s="6">
        <v>926938</v>
      </c>
      <c r="Q11" s="6">
        <v>2512989</v>
      </c>
      <c r="R11" s="6">
        <v>1884719</v>
      </c>
      <c r="S11" s="6">
        <v>979041</v>
      </c>
      <c r="T11" s="6">
        <v>918160</v>
      </c>
      <c r="U11" s="6">
        <v>3073274</v>
      </c>
      <c r="V11" s="6">
        <v>1929935</v>
      </c>
      <c r="W11" s="6">
        <v>1651043</v>
      </c>
      <c r="X11" s="6">
        <v>1793357</v>
      </c>
      <c r="Y11" s="6">
        <v>6135059</v>
      </c>
      <c r="Z11" s="6">
        <v>957757</v>
      </c>
      <c r="AA11" s="6">
        <v>2948562</v>
      </c>
      <c r="AB11" s="6">
        <v>2594128</v>
      </c>
      <c r="AC11" s="6">
        <v>3332796</v>
      </c>
      <c r="AD11" s="6">
        <v>2950117</v>
      </c>
      <c r="AE11" s="6">
        <v>3558972</v>
      </c>
      <c r="AF11" s="6">
        <v>2978841</v>
      </c>
      <c r="AG11" s="6">
        <v>3519979</v>
      </c>
      <c r="AH11" s="6">
        <v>2172677</v>
      </c>
      <c r="AI11" s="6">
        <v>5488218</v>
      </c>
      <c r="AJ11" s="6">
        <v>4559331</v>
      </c>
      <c r="AK11" s="6">
        <v>5411007</v>
      </c>
      <c r="AL11" s="6">
        <v>4351682</v>
      </c>
      <c r="AM11" s="6">
        <v>6477851</v>
      </c>
      <c r="AN11" s="6">
        <v>6337573</v>
      </c>
      <c r="AO11" s="6">
        <v>5871991</v>
      </c>
      <c r="AP11" s="6">
        <v>4870010</v>
      </c>
      <c r="AQ11" s="6">
        <v>7410004</v>
      </c>
      <c r="AR11" s="6">
        <v>8524608</v>
      </c>
      <c r="AS11" s="6">
        <v>8208947</v>
      </c>
      <c r="AT11" s="6">
        <v>3045078</v>
      </c>
      <c r="AU11" s="6">
        <v>5698260</v>
      </c>
      <c r="AV11" s="6">
        <v>7336195</v>
      </c>
      <c r="AW11" s="6">
        <v>8859283</v>
      </c>
      <c r="AX11" s="6">
        <v>1342520</v>
      </c>
      <c r="AY11" s="6">
        <v>8016234</v>
      </c>
      <c r="AZ11" s="6">
        <v>9401189</v>
      </c>
      <c r="BA11" s="6">
        <v>12277494</v>
      </c>
      <c r="BB11" s="6">
        <v>1088680</v>
      </c>
      <c r="BC11" s="6">
        <v>8240200</v>
      </c>
      <c r="BD11" s="6">
        <v>9640762</v>
      </c>
      <c r="BE11" s="6">
        <v>14320944</v>
      </c>
      <c r="BF11" s="6">
        <v>5755230</v>
      </c>
      <c r="BG11" s="6">
        <v>12144126</v>
      </c>
    </row>
    <row r="12" spans="1:59" x14ac:dyDescent="0.25">
      <c r="A12" s="7" t="s">
        <v>163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>
        <v>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x14ac:dyDescent="0.25">
      <c r="A13" s="8" t="s">
        <v>164</v>
      </c>
      <c r="B13" s="9">
        <v>-2662882</v>
      </c>
      <c r="C13" s="6">
        <v>2372665</v>
      </c>
      <c r="D13" s="9">
        <v>2142518</v>
      </c>
      <c r="E13" s="9">
        <v>-3719311</v>
      </c>
      <c r="F13" s="6">
        <v>7715102</v>
      </c>
      <c r="G13" s="9">
        <v>412767</v>
      </c>
      <c r="H13" s="9">
        <v>3914908</v>
      </c>
      <c r="I13" s="9">
        <v>1245368</v>
      </c>
      <c r="J13" s="9">
        <v>1373737</v>
      </c>
      <c r="K13" s="9">
        <v>-1527562</v>
      </c>
      <c r="L13" s="9">
        <v>316902</v>
      </c>
      <c r="M13" s="9">
        <v>-2859613</v>
      </c>
      <c r="N13" s="9">
        <v>-6046694</v>
      </c>
      <c r="O13" s="9">
        <v>5386056</v>
      </c>
      <c r="P13" s="9">
        <v>4680906</v>
      </c>
      <c r="Q13" s="9">
        <v>-1988470</v>
      </c>
      <c r="R13" s="9">
        <v>-5454421</v>
      </c>
      <c r="S13" s="9">
        <v>2355070</v>
      </c>
      <c r="T13" s="9">
        <v>2344607</v>
      </c>
      <c r="U13" s="9">
        <v>-4704632</v>
      </c>
      <c r="V13" s="9">
        <v>3886651</v>
      </c>
      <c r="W13" s="9">
        <v>-4292001</v>
      </c>
      <c r="X13" s="9">
        <v>1513312</v>
      </c>
      <c r="Y13" s="9">
        <v>-2198757</v>
      </c>
      <c r="Z13" s="9">
        <v>-1043807</v>
      </c>
      <c r="AA13" s="9">
        <v>1592735</v>
      </c>
      <c r="AB13" s="9">
        <v>-2683634</v>
      </c>
      <c r="AC13" s="9">
        <v>4601229</v>
      </c>
      <c r="AD13" s="9">
        <v>-881179</v>
      </c>
      <c r="AE13" s="9">
        <v>2398465</v>
      </c>
      <c r="AF13" s="9">
        <v>-4479060</v>
      </c>
      <c r="AG13" s="9">
        <v>5090304</v>
      </c>
      <c r="AH13" s="9">
        <v>4612825</v>
      </c>
      <c r="AI13" s="9">
        <v>-4644914</v>
      </c>
      <c r="AJ13" s="9">
        <v>4809370</v>
      </c>
      <c r="AK13" s="9">
        <v>-3375900</v>
      </c>
      <c r="AL13" s="9">
        <v>-7959602</v>
      </c>
      <c r="AM13" s="9">
        <v>-4728250</v>
      </c>
      <c r="AN13" s="9">
        <v>-6274495</v>
      </c>
      <c r="AO13" s="9">
        <v>-4491926</v>
      </c>
      <c r="AP13" s="9">
        <v>16659994</v>
      </c>
      <c r="AQ13" s="9">
        <v>-907995</v>
      </c>
      <c r="AR13" s="9">
        <v>7438901</v>
      </c>
      <c r="AS13" s="9">
        <v>-4699914</v>
      </c>
      <c r="AT13" s="9">
        <v>2802493</v>
      </c>
      <c r="AU13" s="9">
        <v>1009752</v>
      </c>
      <c r="AV13" s="9">
        <v>1903578</v>
      </c>
      <c r="AW13" s="9">
        <v>-18003681</v>
      </c>
      <c r="AX13" s="9">
        <v>6572421</v>
      </c>
      <c r="AY13" s="9">
        <v>5005248</v>
      </c>
      <c r="AZ13" s="9">
        <v>2121848</v>
      </c>
      <c r="BA13" s="9">
        <v>-977593</v>
      </c>
      <c r="BB13" s="9">
        <v>95062</v>
      </c>
      <c r="BC13" s="9">
        <v>673400</v>
      </c>
      <c r="BD13" s="9">
        <v>-6079069</v>
      </c>
      <c r="BE13" s="9">
        <v>6401970</v>
      </c>
      <c r="BF13" s="9">
        <v>4338587</v>
      </c>
      <c r="BG13" s="9">
        <v>-7914120</v>
      </c>
    </row>
    <row r="14" spans="1:59" x14ac:dyDescent="0.25">
      <c r="A14" s="8" t="s">
        <v>165</v>
      </c>
      <c r="B14" s="9">
        <v>1270698</v>
      </c>
      <c r="C14" s="6">
        <v>-138276</v>
      </c>
      <c r="D14" s="9">
        <v>-1876254</v>
      </c>
      <c r="E14" s="9">
        <v>3259330</v>
      </c>
      <c r="F14" s="6">
        <v>-1497373</v>
      </c>
      <c r="G14" s="9">
        <v>3562836</v>
      </c>
      <c r="H14" s="9">
        <v>507309</v>
      </c>
      <c r="I14" s="9">
        <v>-3744474</v>
      </c>
      <c r="J14" s="9">
        <v>-4962754</v>
      </c>
      <c r="K14" s="9">
        <v>-2110596</v>
      </c>
      <c r="L14" s="9">
        <v>1694707</v>
      </c>
      <c r="M14" s="9">
        <v>-242986</v>
      </c>
      <c r="N14" s="9">
        <v>2461744</v>
      </c>
      <c r="O14" s="9">
        <v>7934507</v>
      </c>
      <c r="P14" s="9">
        <v>-3302707</v>
      </c>
      <c r="Q14" s="9">
        <v>-2337416</v>
      </c>
      <c r="R14" s="9">
        <v>-7161563</v>
      </c>
      <c r="S14" s="9">
        <v>5641991</v>
      </c>
      <c r="T14" s="9">
        <v>-4921094</v>
      </c>
      <c r="U14" s="9">
        <v>-699666</v>
      </c>
      <c r="V14" s="9">
        <v>-1817778</v>
      </c>
      <c r="W14" s="9">
        <v>420552</v>
      </c>
      <c r="X14" s="9">
        <v>2804262</v>
      </c>
      <c r="Y14" s="9">
        <v>-4744649</v>
      </c>
      <c r="Z14" s="9">
        <v>1208146</v>
      </c>
      <c r="AA14" s="9">
        <v>621781</v>
      </c>
      <c r="AB14" s="9">
        <v>-12694115</v>
      </c>
      <c r="AC14" s="9">
        <v>-25071363</v>
      </c>
      <c r="AD14" s="9">
        <v>897706</v>
      </c>
      <c r="AE14" s="9">
        <v>-10330607</v>
      </c>
      <c r="AF14" s="9">
        <v>20013100</v>
      </c>
      <c r="AG14" s="9">
        <v>7450674</v>
      </c>
      <c r="AH14" s="9">
        <v>-5242768</v>
      </c>
      <c r="AI14" s="9">
        <v>2533457</v>
      </c>
      <c r="AJ14" s="9">
        <v>-25685477</v>
      </c>
      <c r="AK14" s="9">
        <v>12389497</v>
      </c>
      <c r="AL14" s="9">
        <v>572692</v>
      </c>
      <c r="AM14" s="9">
        <v>-4034141</v>
      </c>
      <c r="AN14" s="9">
        <v>-4096849</v>
      </c>
      <c r="AO14" s="9">
        <v>-3245777</v>
      </c>
      <c r="AP14" s="9">
        <v>-20137903</v>
      </c>
      <c r="AQ14" s="9">
        <v>27734552</v>
      </c>
      <c r="AR14" s="9">
        <v>2030026</v>
      </c>
      <c r="AS14" s="9">
        <v>4293840</v>
      </c>
      <c r="AT14" s="9">
        <v>-5895205</v>
      </c>
      <c r="AU14" s="9">
        <v>-13592918</v>
      </c>
      <c r="AV14" s="9">
        <v>-14814895</v>
      </c>
      <c r="AW14" s="9">
        <v>14720602</v>
      </c>
      <c r="AX14" s="9">
        <v>4866635</v>
      </c>
      <c r="AY14" s="9">
        <v>3749561</v>
      </c>
      <c r="AZ14" s="9">
        <v>-6387413</v>
      </c>
      <c r="BA14" s="9">
        <v>-33856012</v>
      </c>
      <c r="BB14" s="9">
        <v>13805189</v>
      </c>
      <c r="BC14" s="9">
        <v>-16447433</v>
      </c>
      <c r="BD14" s="9">
        <v>3431116</v>
      </c>
      <c r="BE14" s="9">
        <v>-9911532</v>
      </c>
      <c r="BF14" s="9">
        <v>7588573</v>
      </c>
      <c r="BG14" s="9">
        <v>-38852184</v>
      </c>
    </row>
    <row r="15" spans="1:59" x14ac:dyDescent="0.25">
      <c r="A15" s="8" t="s">
        <v>166</v>
      </c>
      <c r="B15" s="9">
        <v>24144</v>
      </c>
      <c r="C15" s="6">
        <v>30128</v>
      </c>
      <c r="D15" s="10">
        <v>0</v>
      </c>
      <c r="E15" s="9">
        <v>-40868</v>
      </c>
      <c r="F15" s="6">
        <v>-66342</v>
      </c>
      <c r="G15" s="9">
        <v>-7142</v>
      </c>
      <c r="H15" s="9">
        <v>114352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9">
        <v>-36722</v>
      </c>
      <c r="W15" s="9">
        <v>-23326</v>
      </c>
      <c r="X15" s="9">
        <v>-21512</v>
      </c>
      <c r="Y15" s="9">
        <v>45268</v>
      </c>
      <c r="Z15" s="9">
        <v>-77603</v>
      </c>
      <c r="AA15" s="9">
        <v>113895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/>
      <c r="AH15" s="10">
        <v>0</v>
      </c>
      <c r="AI15" s="10">
        <v>0</v>
      </c>
      <c r="AJ15" s="10">
        <v>0</v>
      </c>
      <c r="AK15" s="10"/>
      <c r="AL15" s="10">
        <v>0</v>
      </c>
      <c r="AM15" s="9">
        <v>-51840</v>
      </c>
      <c r="AN15" s="9">
        <v>26638</v>
      </c>
      <c r="AO15" s="9">
        <v>-268566</v>
      </c>
      <c r="AP15" s="9">
        <v>-45188</v>
      </c>
      <c r="AQ15" s="9">
        <v>277717</v>
      </c>
      <c r="AR15" s="9">
        <v>-182491</v>
      </c>
      <c r="AS15" s="9">
        <v>243730</v>
      </c>
      <c r="AT15" s="10"/>
      <c r="AU15" s="9">
        <v>-221603</v>
      </c>
      <c r="AV15" s="9">
        <v>-1079667</v>
      </c>
      <c r="AW15" s="9">
        <v>1157659</v>
      </c>
      <c r="AX15" s="9">
        <v>-585638</v>
      </c>
      <c r="AY15" s="9">
        <v>558892</v>
      </c>
      <c r="AZ15" s="9">
        <v>-98880</v>
      </c>
      <c r="BA15" s="9">
        <v>269237</v>
      </c>
      <c r="BB15" s="10"/>
      <c r="BC15" s="10"/>
      <c r="BD15" s="10"/>
      <c r="BE15" s="10"/>
      <c r="BF15" s="10"/>
      <c r="BG15" s="10"/>
    </row>
    <row r="16" spans="1:59" x14ac:dyDescent="0.25">
      <c r="A16" s="8" t="s">
        <v>167</v>
      </c>
      <c r="B16" s="9">
        <v>2606047</v>
      </c>
      <c r="C16" s="6">
        <v>-1803596</v>
      </c>
      <c r="D16" s="9">
        <v>1340491</v>
      </c>
      <c r="E16" s="9">
        <v>-8107125</v>
      </c>
      <c r="F16" s="6">
        <v>-174775</v>
      </c>
      <c r="G16" s="9">
        <v>-1428395</v>
      </c>
      <c r="H16" s="9">
        <v>-87544</v>
      </c>
      <c r="I16" s="9">
        <v>-322762</v>
      </c>
      <c r="J16" s="9">
        <v>-1582676</v>
      </c>
      <c r="K16" s="9">
        <v>-2164270</v>
      </c>
      <c r="L16" s="9">
        <v>2532852</v>
      </c>
      <c r="M16" s="9">
        <v>-7369214</v>
      </c>
      <c r="N16" s="9">
        <v>-7718371</v>
      </c>
      <c r="O16" s="9">
        <v>-3711984</v>
      </c>
      <c r="P16" s="9">
        <v>-3131654</v>
      </c>
      <c r="Q16" s="9">
        <v>-16756196</v>
      </c>
      <c r="R16" s="9">
        <v>-2398254</v>
      </c>
      <c r="S16" s="9">
        <v>-13522154</v>
      </c>
      <c r="T16" s="9">
        <v>-7864679</v>
      </c>
      <c r="U16" s="9">
        <v>-6651028</v>
      </c>
      <c r="V16" s="9">
        <v>4869334</v>
      </c>
      <c r="W16" s="9">
        <v>5862329</v>
      </c>
      <c r="X16" s="9">
        <v>-5488290</v>
      </c>
      <c r="Y16" s="9">
        <v>-23476406</v>
      </c>
      <c r="Z16" s="9">
        <v>-3099317</v>
      </c>
      <c r="AA16" s="9">
        <v>-2752067</v>
      </c>
      <c r="AB16" s="9">
        <v>-238429</v>
      </c>
      <c r="AC16" s="9">
        <v>6996802</v>
      </c>
      <c r="AD16" s="9">
        <v>-3896218</v>
      </c>
      <c r="AE16" s="9">
        <v>-21596730</v>
      </c>
      <c r="AF16" s="9">
        <v>-19884867</v>
      </c>
      <c r="AG16" s="9">
        <v>-25484995</v>
      </c>
      <c r="AH16" s="9">
        <v>-1219045</v>
      </c>
      <c r="AI16" s="9">
        <v>355285</v>
      </c>
      <c r="AJ16" s="9">
        <v>950081</v>
      </c>
      <c r="AK16" s="9">
        <v>-46808909</v>
      </c>
      <c r="AL16" s="9">
        <v>-18765598</v>
      </c>
      <c r="AM16" s="9">
        <v>-17223778</v>
      </c>
      <c r="AN16" s="9">
        <v>-7528025</v>
      </c>
      <c r="AO16" s="9">
        <v>-26299228</v>
      </c>
      <c r="AP16" s="9">
        <v>-18401392</v>
      </c>
      <c r="AQ16" s="9">
        <v>-26081166</v>
      </c>
      <c r="AR16" s="9">
        <v>-18722052</v>
      </c>
      <c r="AS16" s="9">
        <v>-9977851</v>
      </c>
      <c r="AT16" s="9">
        <v>-44901640</v>
      </c>
      <c r="AU16" s="9">
        <v>-1120872</v>
      </c>
      <c r="AV16" s="9">
        <v>-9059372</v>
      </c>
      <c r="AW16" s="9">
        <v>-43035979</v>
      </c>
      <c r="AX16" s="9">
        <v>-40635317</v>
      </c>
      <c r="AY16" s="9">
        <v>-32806386</v>
      </c>
      <c r="AZ16" s="9">
        <v>-34207506</v>
      </c>
      <c r="BA16" s="9">
        <v>-5434187</v>
      </c>
      <c r="BB16" s="9">
        <v>-31967902</v>
      </c>
      <c r="BC16" s="9">
        <v>-46620144</v>
      </c>
      <c r="BD16" s="9">
        <v>-56396919</v>
      </c>
      <c r="BE16" s="9">
        <v>-907200</v>
      </c>
      <c r="BF16" s="9">
        <v>-29246822</v>
      </c>
      <c r="BG16" s="9">
        <v>-50471617</v>
      </c>
    </row>
    <row r="17" spans="1:59" x14ac:dyDescent="0.25">
      <c r="A17" s="8" t="s">
        <v>168</v>
      </c>
      <c r="B17" s="9">
        <v>-12724</v>
      </c>
      <c r="C17" s="6">
        <v>-79282</v>
      </c>
      <c r="D17" s="9">
        <v>-251911</v>
      </c>
      <c r="E17" s="9">
        <v>-810289</v>
      </c>
      <c r="F17" s="6">
        <v>-30750</v>
      </c>
      <c r="G17" s="9">
        <v>-521104</v>
      </c>
      <c r="H17" s="9">
        <v>-47131</v>
      </c>
      <c r="I17" s="9">
        <v>-778906</v>
      </c>
      <c r="J17" s="10">
        <v>0</v>
      </c>
      <c r="K17" s="9">
        <v>-306559</v>
      </c>
      <c r="L17" s="9">
        <v>-793379</v>
      </c>
      <c r="M17" s="9">
        <v>-351929</v>
      </c>
      <c r="N17" s="9">
        <v>-752049</v>
      </c>
      <c r="O17" s="9">
        <v>1772301</v>
      </c>
      <c r="P17" s="9">
        <v>275223</v>
      </c>
      <c r="Q17" s="9">
        <v>-2752421</v>
      </c>
      <c r="R17" s="9">
        <v>-1222619</v>
      </c>
      <c r="S17" s="9">
        <v>-1686927</v>
      </c>
      <c r="T17" s="9">
        <v>-280853</v>
      </c>
      <c r="U17" s="9">
        <v>-918226</v>
      </c>
      <c r="V17" s="9">
        <v>-783100</v>
      </c>
      <c r="W17" s="9">
        <v>-2828772</v>
      </c>
      <c r="X17" s="9">
        <v>-70888</v>
      </c>
      <c r="Y17" s="9">
        <v>-1096936</v>
      </c>
      <c r="Z17" s="9">
        <v>-1131589</v>
      </c>
      <c r="AA17" s="10">
        <v>0</v>
      </c>
      <c r="AB17" s="9">
        <v>-1094762</v>
      </c>
      <c r="AC17" s="9">
        <v>-326853</v>
      </c>
      <c r="AD17" s="10">
        <v>-71</v>
      </c>
      <c r="AE17" s="9">
        <v>-90853</v>
      </c>
      <c r="AF17" s="10">
        <v>0</v>
      </c>
      <c r="AG17" s="9">
        <v>-166021</v>
      </c>
      <c r="AH17" s="9">
        <v>-693407</v>
      </c>
      <c r="AI17" s="9">
        <v>-1053270</v>
      </c>
      <c r="AJ17" s="9">
        <v>-1372607</v>
      </c>
      <c r="AK17" s="9">
        <v>-244286</v>
      </c>
      <c r="AL17" s="9">
        <v>-267577</v>
      </c>
      <c r="AM17" s="9">
        <v>-156940</v>
      </c>
      <c r="AN17" s="9">
        <v>-97030</v>
      </c>
      <c r="AO17" s="9">
        <v>-105100</v>
      </c>
      <c r="AP17" s="9">
        <v>-104430</v>
      </c>
      <c r="AQ17" s="9">
        <v>-103314</v>
      </c>
      <c r="AR17" s="9">
        <v>-151515</v>
      </c>
      <c r="AS17" s="9">
        <v>-323747</v>
      </c>
      <c r="AT17" s="9">
        <v>-151337</v>
      </c>
      <c r="AU17" s="9">
        <v>-283613</v>
      </c>
      <c r="AV17" s="9">
        <v>-699855</v>
      </c>
      <c r="AW17" s="9">
        <v>-1533072</v>
      </c>
      <c r="AX17" s="9">
        <v>-965227</v>
      </c>
      <c r="AY17" s="9">
        <v>-1010242</v>
      </c>
      <c r="AZ17" s="9">
        <v>-206580</v>
      </c>
      <c r="BA17" s="9">
        <v>-488732</v>
      </c>
      <c r="BB17" s="9">
        <v>-525500</v>
      </c>
      <c r="BC17" s="9">
        <v>-214319</v>
      </c>
      <c r="BD17" s="9">
        <v>-372588</v>
      </c>
      <c r="BE17" s="9">
        <v>-960384</v>
      </c>
      <c r="BF17" s="9">
        <v>-182597</v>
      </c>
      <c r="BG17" s="9">
        <v>-380852</v>
      </c>
    </row>
    <row r="18" spans="1:59" x14ac:dyDescent="0.25">
      <c r="A18" s="8" t="s">
        <v>169</v>
      </c>
      <c r="B18" s="9">
        <v>-3532621</v>
      </c>
      <c r="C18" s="6">
        <v>-1846466</v>
      </c>
      <c r="D18" s="9">
        <v>-2466152</v>
      </c>
      <c r="E18" s="9">
        <v>4312188</v>
      </c>
      <c r="F18" s="6">
        <v>-3437910</v>
      </c>
      <c r="G18" s="9">
        <v>4983611</v>
      </c>
      <c r="H18" s="9">
        <v>1704580</v>
      </c>
      <c r="I18" s="9">
        <v>1396482</v>
      </c>
      <c r="J18" s="9">
        <v>-315887</v>
      </c>
      <c r="K18" s="9">
        <v>823810</v>
      </c>
      <c r="L18" s="9">
        <v>-461820</v>
      </c>
      <c r="M18" s="9">
        <v>-1604985</v>
      </c>
      <c r="N18" s="9">
        <v>-2441744</v>
      </c>
      <c r="O18" s="9">
        <v>2534642</v>
      </c>
      <c r="P18" s="9">
        <v>-968859</v>
      </c>
      <c r="Q18" s="9">
        <v>-696336</v>
      </c>
      <c r="R18" s="9">
        <v>1109414</v>
      </c>
      <c r="S18" s="9">
        <v>2494075</v>
      </c>
      <c r="T18" s="9">
        <v>-327507</v>
      </c>
      <c r="U18" s="9">
        <v>-141236</v>
      </c>
      <c r="V18" s="9">
        <v>545482</v>
      </c>
      <c r="W18" s="9">
        <v>-1084680</v>
      </c>
      <c r="X18" s="9">
        <v>-831922</v>
      </c>
      <c r="Y18" s="9">
        <v>-1101761</v>
      </c>
      <c r="Z18" s="9">
        <v>1354026</v>
      </c>
      <c r="AA18" s="9">
        <v>-1237058</v>
      </c>
      <c r="AB18" s="9">
        <v>-1804546</v>
      </c>
      <c r="AC18" s="9">
        <v>-1514548</v>
      </c>
      <c r="AD18" s="9">
        <v>3458130</v>
      </c>
      <c r="AE18" s="9">
        <v>-1743623</v>
      </c>
      <c r="AF18" s="9">
        <v>-2925472</v>
      </c>
      <c r="AG18" s="9">
        <v>-3459802</v>
      </c>
      <c r="AH18" s="9">
        <v>-1976608</v>
      </c>
      <c r="AI18" s="9">
        <v>-4245587</v>
      </c>
      <c r="AJ18" s="9">
        <v>2244492</v>
      </c>
      <c r="AK18" s="9">
        <v>-2267983</v>
      </c>
      <c r="AL18" s="9">
        <v>-4721763</v>
      </c>
      <c r="AM18" s="9">
        <v>-4964126</v>
      </c>
      <c r="AN18" s="9">
        <v>-2116805</v>
      </c>
      <c r="AO18" s="9">
        <v>-3837018</v>
      </c>
      <c r="AP18" s="9">
        <v>-39872</v>
      </c>
      <c r="AQ18" s="9">
        <v>-13144689</v>
      </c>
      <c r="AR18" s="9">
        <v>-22406127</v>
      </c>
      <c r="AS18" s="9">
        <v>-438925</v>
      </c>
      <c r="AT18" s="9">
        <v>1302793</v>
      </c>
      <c r="AU18" s="9">
        <v>2107045</v>
      </c>
      <c r="AV18" s="9">
        <v>-4006025</v>
      </c>
      <c r="AW18" s="9">
        <v>-8721092</v>
      </c>
      <c r="AX18" s="9">
        <v>8343567</v>
      </c>
      <c r="AY18" s="9">
        <v>2026060</v>
      </c>
      <c r="AZ18" s="9">
        <v>16936573</v>
      </c>
      <c r="BA18" s="9">
        <v>7395609</v>
      </c>
      <c r="BB18" s="9">
        <v>-3646841</v>
      </c>
      <c r="BC18" s="9">
        <v>5921853</v>
      </c>
      <c r="BD18" s="9">
        <v>-3344188</v>
      </c>
      <c r="BE18" s="9">
        <v>-28545992</v>
      </c>
      <c r="BF18" s="9">
        <v>5896711</v>
      </c>
      <c r="BG18" s="9">
        <v>4403261</v>
      </c>
    </row>
    <row r="19" spans="1:59" x14ac:dyDescent="0.25">
      <c r="A19" s="7" t="s">
        <v>170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>
        <v>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x14ac:dyDescent="0.25">
      <c r="A20" s="8" t="s">
        <v>171</v>
      </c>
      <c r="B20" s="9">
        <v>-417602</v>
      </c>
      <c r="C20" s="4">
        <v>0</v>
      </c>
      <c r="D20" s="9">
        <v>-2900000</v>
      </c>
      <c r="E20" s="10">
        <v>0</v>
      </c>
      <c r="F20" s="4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9">
        <v>202648</v>
      </c>
      <c r="O20" s="9">
        <v>-202648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9">
        <v>1447970</v>
      </c>
      <c r="V20" s="9">
        <v>-1016197</v>
      </c>
      <c r="W20" s="9">
        <v>568227</v>
      </c>
      <c r="X20" s="9">
        <v>1000000</v>
      </c>
      <c r="Y20" s="9">
        <v>-1000000</v>
      </c>
      <c r="Z20" s="10">
        <v>0</v>
      </c>
      <c r="AA20" s="10">
        <v>0</v>
      </c>
      <c r="AB20" s="10">
        <v>0</v>
      </c>
      <c r="AC20" s="9">
        <v>3024907</v>
      </c>
      <c r="AD20" s="9">
        <v>-3325995</v>
      </c>
      <c r="AE20" s="9">
        <v>363825</v>
      </c>
      <c r="AF20" s="9">
        <v>-1062737</v>
      </c>
      <c r="AG20" s="10"/>
      <c r="AH20" s="9">
        <v>1003839</v>
      </c>
      <c r="AI20" s="9">
        <v>-1003839</v>
      </c>
      <c r="AJ20" s="10">
        <v>0</v>
      </c>
      <c r="AK20" s="10"/>
      <c r="AL20" s="10">
        <v>0</v>
      </c>
      <c r="AM20" s="10"/>
      <c r="AN20" s="10">
        <v>0</v>
      </c>
      <c r="AO20" s="10"/>
      <c r="AP20" s="10"/>
      <c r="AQ20" s="10"/>
      <c r="AR20" s="10"/>
      <c r="AS20" s="10"/>
      <c r="AT20" s="10"/>
      <c r="AU20" s="10">
        <v>0</v>
      </c>
      <c r="AV20" s="10"/>
      <c r="AW20" s="10"/>
      <c r="AX20" s="10"/>
      <c r="AY20" s="10"/>
      <c r="AZ20" s="10"/>
      <c r="BA20" s="10"/>
      <c r="BB20" s="10"/>
      <c r="BC20" s="10">
        <v>0</v>
      </c>
      <c r="BD20" s="10"/>
      <c r="BE20" s="9">
        <v>4306722</v>
      </c>
      <c r="BF20" s="9">
        <v>38028</v>
      </c>
      <c r="BG20" s="9">
        <v>-4344751</v>
      </c>
    </row>
    <row r="21" spans="1:59" x14ac:dyDescent="0.25">
      <c r="A21" s="8" t="s">
        <v>172</v>
      </c>
      <c r="B21" s="9">
        <v>-2945668</v>
      </c>
      <c r="C21" s="6">
        <v>-5188864</v>
      </c>
      <c r="D21" s="9">
        <v>-6344</v>
      </c>
      <c r="E21" s="9">
        <v>-821462</v>
      </c>
      <c r="F21" s="6">
        <v>-4966968</v>
      </c>
      <c r="G21" s="9">
        <v>-212990</v>
      </c>
      <c r="H21" s="9">
        <v>-9304270</v>
      </c>
      <c r="I21" s="9">
        <v>-9461203</v>
      </c>
      <c r="J21" s="9">
        <v>972704</v>
      </c>
      <c r="K21" s="9">
        <v>5309197</v>
      </c>
      <c r="L21" s="9">
        <v>3357346</v>
      </c>
      <c r="M21" s="9">
        <v>-5392813</v>
      </c>
      <c r="N21" s="9">
        <v>7340308</v>
      </c>
      <c r="O21" s="9">
        <v>-8895619</v>
      </c>
      <c r="P21" s="9">
        <v>-5851328</v>
      </c>
      <c r="Q21" s="9">
        <v>8681221</v>
      </c>
      <c r="R21" s="9">
        <v>-211983</v>
      </c>
      <c r="S21" s="9">
        <v>10564529</v>
      </c>
      <c r="T21" s="9">
        <v>-5499352</v>
      </c>
      <c r="U21" s="9">
        <v>-713058</v>
      </c>
      <c r="V21" s="9">
        <v>-8556371</v>
      </c>
      <c r="W21" s="9">
        <v>3964818</v>
      </c>
      <c r="X21" s="9">
        <v>7173259</v>
      </c>
      <c r="Y21" s="9">
        <v>18268610</v>
      </c>
      <c r="Z21" s="9">
        <v>-20922854</v>
      </c>
      <c r="AA21" s="9">
        <v>12305331</v>
      </c>
      <c r="AB21" s="9">
        <v>1865123</v>
      </c>
      <c r="AC21" s="9">
        <v>-3145865</v>
      </c>
      <c r="AD21" s="9">
        <v>2217229</v>
      </c>
      <c r="AE21" s="9">
        <v>18320143</v>
      </c>
      <c r="AF21" s="9">
        <v>1894660</v>
      </c>
      <c r="AG21" s="9">
        <v>2409043</v>
      </c>
      <c r="AH21" s="9">
        <v>1659224</v>
      </c>
      <c r="AI21" s="9">
        <v>-19348239</v>
      </c>
      <c r="AJ21" s="9">
        <v>-1118271</v>
      </c>
      <c r="AK21" s="9">
        <v>5025463</v>
      </c>
      <c r="AL21" s="9">
        <v>11534036</v>
      </c>
      <c r="AM21" s="9">
        <v>31623327</v>
      </c>
      <c r="AN21" s="9">
        <v>-293894</v>
      </c>
      <c r="AO21" s="9">
        <v>22110410</v>
      </c>
      <c r="AP21" s="9">
        <v>25540184</v>
      </c>
      <c r="AQ21" s="9">
        <v>3201989</v>
      </c>
      <c r="AR21" s="9">
        <v>37951524</v>
      </c>
      <c r="AS21" s="9">
        <v>-11589419</v>
      </c>
      <c r="AT21" s="9">
        <v>-16368851</v>
      </c>
      <c r="AU21" s="9">
        <v>2431532</v>
      </c>
      <c r="AV21" s="9">
        <v>5636844</v>
      </c>
      <c r="AW21" s="9">
        <v>-6089492</v>
      </c>
      <c r="AX21" s="9">
        <v>19719745</v>
      </c>
      <c r="AY21" s="9">
        <v>-18280331</v>
      </c>
      <c r="AZ21" s="9">
        <v>-16150142</v>
      </c>
      <c r="BA21" s="9">
        <v>-6223186</v>
      </c>
      <c r="BB21" s="9">
        <v>3074617</v>
      </c>
      <c r="BC21" s="9">
        <v>1750598</v>
      </c>
      <c r="BD21" s="9">
        <v>9579576</v>
      </c>
      <c r="BE21" s="9">
        <v>-1660903</v>
      </c>
      <c r="BF21" s="9">
        <v>5284205</v>
      </c>
      <c r="BG21" s="9">
        <v>13752279</v>
      </c>
    </row>
    <row r="22" spans="1:59" x14ac:dyDescent="0.25">
      <c r="A22" s="8" t="s">
        <v>173</v>
      </c>
      <c r="B22" s="9">
        <v>4288487</v>
      </c>
      <c r="C22" s="6">
        <v>3802768</v>
      </c>
      <c r="D22" s="9">
        <v>2821125</v>
      </c>
      <c r="E22" s="9">
        <v>11902129</v>
      </c>
      <c r="F22" s="6">
        <v>2634030</v>
      </c>
      <c r="G22" s="9">
        <v>-2505178</v>
      </c>
      <c r="H22" s="9">
        <v>5645162</v>
      </c>
      <c r="I22" s="9">
        <v>2741622</v>
      </c>
      <c r="J22" s="9">
        <v>4035853</v>
      </c>
      <c r="K22" s="9">
        <v>728835</v>
      </c>
      <c r="L22" s="9">
        <v>-3009450</v>
      </c>
      <c r="M22" s="9">
        <v>9705237</v>
      </c>
      <c r="N22" s="9">
        <v>-4803359</v>
      </c>
      <c r="O22" s="9">
        <v>2129606</v>
      </c>
      <c r="P22" s="9">
        <v>7614470</v>
      </c>
      <c r="Q22" s="9">
        <v>5609019</v>
      </c>
      <c r="R22" s="9">
        <v>6577305</v>
      </c>
      <c r="S22" s="9">
        <v>1216298</v>
      </c>
      <c r="T22" s="9">
        <v>13481520</v>
      </c>
      <c r="U22" s="9">
        <v>9934260</v>
      </c>
      <c r="V22" s="9">
        <v>5174098</v>
      </c>
      <c r="W22" s="9">
        <v>-6520249</v>
      </c>
      <c r="X22" s="9">
        <v>-5867935</v>
      </c>
      <c r="Y22" s="9">
        <v>4735990</v>
      </c>
      <c r="Z22" s="9">
        <v>11419720</v>
      </c>
      <c r="AA22" s="9">
        <v>4892656</v>
      </c>
      <c r="AB22" s="9">
        <v>7299923</v>
      </c>
      <c r="AC22" s="9">
        <v>8888324</v>
      </c>
      <c r="AD22" s="9">
        <v>6563680</v>
      </c>
      <c r="AE22" s="9">
        <v>12284291</v>
      </c>
      <c r="AF22" s="9">
        <v>-1607942</v>
      </c>
      <c r="AG22" s="9">
        <v>10642080</v>
      </c>
      <c r="AH22" s="9">
        <v>3802031</v>
      </c>
      <c r="AI22" s="9">
        <v>14758477</v>
      </c>
      <c r="AJ22" s="9">
        <v>2715210</v>
      </c>
      <c r="AK22" s="9">
        <v>24886172</v>
      </c>
      <c r="AL22" s="9">
        <v>9988964</v>
      </c>
      <c r="AM22" s="9">
        <v>1887435</v>
      </c>
      <c r="AN22" s="9">
        <v>27056479</v>
      </c>
      <c r="AO22" s="9">
        <v>-1638162</v>
      </c>
      <c r="AP22" s="9">
        <v>14383835</v>
      </c>
      <c r="AQ22" s="9">
        <v>-7501292</v>
      </c>
      <c r="AR22" s="9">
        <v>-2711292</v>
      </c>
      <c r="AS22" s="9">
        <v>39486993</v>
      </c>
      <c r="AT22" s="9">
        <v>29007891</v>
      </c>
      <c r="AU22" s="9">
        <v>-5336683</v>
      </c>
      <c r="AV22" s="9">
        <v>27011324</v>
      </c>
      <c r="AW22" s="9">
        <v>45566767</v>
      </c>
      <c r="AX22" s="9">
        <v>4318705</v>
      </c>
      <c r="AY22" s="9">
        <v>23291005</v>
      </c>
      <c r="AZ22" s="9">
        <v>12703939</v>
      </c>
      <c r="BA22" s="9">
        <v>38429322</v>
      </c>
      <c r="BB22" s="9">
        <v>-1702450</v>
      </c>
      <c r="BC22" s="9">
        <v>13424332</v>
      </c>
      <c r="BD22" s="9">
        <v>50002432</v>
      </c>
      <c r="BE22" s="9">
        <v>23800485</v>
      </c>
      <c r="BF22" s="9">
        <v>-18792063</v>
      </c>
      <c r="BG22" s="9">
        <v>70556897</v>
      </c>
    </row>
    <row r="23" spans="1:59" x14ac:dyDescent="0.25">
      <c r="A23" s="8" t="s">
        <v>174</v>
      </c>
      <c r="B23" s="9">
        <v>-1251796</v>
      </c>
      <c r="C23" s="6">
        <v>-1023643</v>
      </c>
      <c r="D23" s="9">
        <v>-1831884</v>
      </c>
      <c r="E23" s="9">
        <v>-8535979</v>
      </c>
      <c r="F23" s="6">
        <v>-2804444</v>
      </c>
      <c r="G23" s="9">
        <v>-976668</v>
      </c>
      <c r="H23" s="9">
        <v>-2133478</v>
      </c>
      <c r="I23" s="9">
        <v>1107042</v>
      </c>
      <c r="J23" s="9">
        <v>-984647</v>
      </c>
      <c r="K23" s="9">
        <v>-39815</v>
      </c>
      <c r="L23" s="9">
        <v>952332</v>
      </c>
      <c r="M23" s="9">
        <v>682458</v>
      </c>
      <c r="N23" s="9">
        <v>187958</v>
      </c>
      <c r="O23" s="9">
        <v>34982</v>
      </c>
      <c r="P23" s="9">
        <v>-81683</v>
      </c>
      <c r="Q23" s="9">
        <v>1739016</v>
      </c>
      <c r="R23" s="9">
        <v>-30790</v>
      </c>
      <c r="S23" s="9">
        <v>-54711</v>
      </c>
      <c r="T23" s="9">
        <v>1795456</v>
      </c>
      <c r="U23" s="9">
        <v>568864</v>
      </c>
      <c r="V23" s="9">
        <v>-9340</v>
      </c>
      <c r="W23" s="9">
        <v>-93371</v>
      </c>
      <c r="X23" s="9">
        <v>1175006</v>
      </c>
      <c r="Y23" s="9">
        <v>6286956</v>
      </c>
      <c r="Z23" s="9">
        <v>2434093</v>
      </c>
      <c r="AA23" s="9">
        <v>30233</v>
      </c>
      <c r="AB23" s="9">
        <v>-164231</v>
      </c>
      <c r="AC23" s="9">
        <v>-4062106</v>
      </c>
      <c r="AD23" s="9">
        <v>-312075</v>
      </c>
      <c r="AE23" s="9">
        <v>-223727</v>
      </c>
      <c r="AF23" s="9">
        <v>2846453</v>
      </c>
      <c r="AG23" s="9">
        <v>5172024</v>
      </c>
      <c r="AH23" s="9">
        <v>11468</v>
      </c>
      <c r="AI23" s="9">
        <v>5932380</v>
      </c>
      <c r="AJ23" s="9">
        <v>-619635</v>
      </c>
      <c r="AK23" s="9">
        <v>5272506</v>
      </c>
      <c r="AL23" s="9">
        <v>-1864200</v>
      </c>
      <c r="AM23" s="9">
        <v>1642225</v>
      </c>
      <c r="AN23" s="9">
        <v>6325015</v>
      </c>
      <c r="AO23" s="9">
        <v>-322856</v>
      </c>
      <c r="AP23" s="9">
        <v>-949138</v>
      </c>
      <c r="AQ23" s="9">
        <v>4391697</v>
      </c>
      <c r="AR23" s="9">
        <v>5735700</v>
      </c>
      <c r="AS23" s="9">
        <v>-8151464</v>
      </c>
      <c r="AT23" s="9">
        <v>12722474</v>
      </c>
      <c r="AU23" s="9">
        <v>8228642</v>
      </c>
      <c r="AV23" s="9">
        <v>6867486</v>
      </c>
      <c r="AW23" s="9">
        <v>22878079</v>
      </c>
      <c r="AX23" s="9">
        <v>9073498</v>
      </c>
      <c r="AY23" s="9">
        <v>18208485</v>
      </c>
      <c r="AZ23" s="9">
        <v>14076026</v>
      </c>
      <c r="BA23" s="9">
        <v>14361012</v>
      </c>
      <c r="BB23" s="9">
        <v>7510749</v>
      </c>
      <c r="BC23" s="9">
        <v>24404572</v>
      </c>
      <c r="BD23" s="9">
        <v>9404879</v>
      </c>
      <c r="BE23" s="9">
        <v>33587607</v>
      </c>
      <c r="BF23" s="9">
        <v>2566880</v>
      </c>
      <c r="BG23" s="9">
        <v>-5817104</v>
      </c>
    </row>
    <row r="24" spans="1:59" x14ac:dyDescent="0.25">
      <c r="A24" s="8" t="s">
        <v>175</v>
      </c>
      <c r="B24" s="9">
        <v>-17611</v>
      </c>
      <c r="C24" s="6">
        <v>-37294</v>
      </c>
      <c r="D24" s="9">
        <v>-14866</v>
      </c>
      <c r="E24" s="9">
        <v>-54674</v>
      </c>
      <c r="F24" s="6">
        <v>-17361</v>
      </c>
      <c r="G24" s="9">
        <v>-14658</v>
      </c>
      <c r="H24" s="9">
        <v>-15265</v>
      </c>
      <c r="I24" s="9">
        <v>-16532</v>
      </c>
      <c r="J24" s="10">
        <v>-115</v>
      </c>
      <c r="K24" s="9">
        <v>5917</v>
      </c>
      <c r="L24" s="9">
        <v>-11341</v>
      </c>
      <c r="M24" s="9">
        <v>8668</v>
      </c>
      <c r="N24" s="9">
        <v>-4835</v>
      </c>
      <c r="O24" s="9">
        <v>-1846</v>
      </c>
      <c r="P24" s="9">
        <v>71891</v>
      </c>
      <c r="Q24" s="9">
        <v>203945</v>
      </c>
      <c r="R24" s="9">
        <v>108747</v>
      </c>
      <c r="S24" s="9">
        <v>112838</v>
      </c>
      <c r="T24" s="9">
        <v>-5479</v>
      </c>
      <c r="U24" s="9">
        <v>34856</v>
      </c>
      <c r="V24" s="19">
        <v>0</v>
      </c>
      <c r="W24" s="10">
        <v>0</v>
      </c>
      <c r="X24" s="10">
        <v>0</v>
      </c>
      <c r="Y24" s="10">
        <v>0</v>
      </c>
      <c r="Z24" s="10">
        <v>0</v>
      </c>
      <c r="AA24" s="19">
        <v>0</v>
      </c>
      <c r="AB24" s="10">
        <v>0</v>
      </c>
      <c r="AC24" s="10">
        <v>0</v>
      </c>
      <c r="AD24" s="10">
        <v>0</v>
      </c>
      <c r="AE24" s="10">
        <v>0</v>
      </c>
      <c r="AF24" s="19">
        <v>0</v>
      </c>
      <c r="AG24" s="10"/>
      <c r="AH24" s="10">
        <v>0</v>
      </c>
      <c r="AI24" s="10">
        <v>0</v>
      </c>
      <c r="AJ24" s="10"/>
      <c r="AK24" s="10"/>
      <c r="AL24" s="19">
        <v>0</v>
      </c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 x14ac:dyDescent="0.25">
      <c r="A25" s="8" t="s">
        <v>176</v>
      </c>
      <c r="B25" s="10">
        <v>0</v>
      </c>
      <c r="C25" s="6">
        <v>37441</v>
      </c>
      <c r="D25" s="9">
        <v>-34197</v>
      </c>
      <c r="E25" s="9">
        <v>-3244</v>
      </c>
      <c r="F25" s="4">
        <v>0</v>
      </c>
      <c r="G25" s="10">
        <v>0</v>
      </c>
      <c r="H25" s="9">
        <v>4266</v>
      </c>
      <c r="I25" s="9">
        <v>68891</v>
      </c>
      <c r="J25" s="9">
        <v>-7352</v>
      </c>
      <c r="K25" s="9">
        <v>-5755</v>
      </c>
      <c r="L25" s="9">
        <v>-27158</v>
      </c>
      <c r="M25" s="9">
        <v>-14483</v>
      </c>
      <c r="N25" s="9">
        <v>40229</v>
      </c>
      <c r="O25" s="9">
        <v>105085</v>
      </c>
      <c r="P25" s="9">
        <v>-119253</v>
      </c>
      <c r="Q25" s="9">
        <v>41421</v>
      </c>
      <c r="R25" s="9">
        <v>-21482</v>
      </c>
      <c r="S25" s="9">
        <v>75108</v>
      </c>
      <c r="T25" s="9">
        <v>-82415</v>
      </c>
      <c r="U25" s="9">
        <v>10790</v>
      </c>
      <c r="V25" s="9">
        <v>-67892</v>
      </c>
      <c r="W25" s="10">
        <v>0</v>
      </c>
      <c r="X25" s="10">
        <v>0</v>
      </c>
      <c r="Y25" s="10">
        <v>0</v>
      </c>
      <c r="Z25" s="10">
        <v>0</v>
      </c>
      <c r="AA25" s="9">
        <v>67057</v>
      </c>
      <c r="AB25" s="9">
        <v>315615</v>
      </c>
      <c r="AC25" s="9">
        <v>-72359</v>
      </c>
      <c r="AD25" s="9">
        <v>80952</v>
      </c>
      <c r="AE25" s="9">
        <v>-22650</v>
      </c>
      <c r="AF25" s="9">
        <v>-62616</v>
      </c>
      <c r="AG25" s="9">
        <v>128009</v>
      </c>
      <c r="AH25" s="9">
        <v>-48543</v>
      </c>
      <c r="AI25" s="9">
        <v>-20767</v>
      </c>
      <c r="AJ25" s="9">
        <v>61209</v>
      </c>
      <c r="AK25" s="9">
        <v>-158981</v>
      </c>
      <c r="AL25" s="9">
        <v>-190270</v>
      </c>
      <c r="AM25" s="9">
        <v>-76656</v>
      </c>
      <c r="AN25" s="10">
        <v>0</v>
      </c>
      <c r="AO25" s="10"/>
      <c r="AP25" s="10"/>
      <c r="AQ25" s="10"/>
      <c r="AR25" s="10"/>
      <c r="AS25" s="9">
        <v>1851213</v>
      </c>
      <c r="AT25" s="9">
        <v>-876875</v>
      </c>
      <c r="AU25" s="9">
        <v>-974338</v>
      </c>
      <c r="AV25" s="10">
        <v>0</v>
      </c>
      <c r="AW25" s="10"/>
      <c r="AX25" s="10"/>
      <c r="AY25" s="10"/>
      <c r="AZ25" s="10"/>
      <c r="BA25" s="9">
        <v>931231</v>
      </c>
      <c r="BB25" s="9">
        <v>-242695</v>
      </c>
      <c r="BC25" s="9">
        <v>404323</v>
      </c>
      <c r="BD25" s="9">
        <v>619294</v>
      </c>
      <c r="BE25" s="9">
        <v>704794</v>
      </c>
      <c r="BF25" s="9">
        <v>-200636</v>
      </c>
      <c r="BG25" s="9">
        <v>-1369</v>
      </c>
    </row>
    <row r="26" spans="1:59" x14ac:dyDescent="0.25">
      <c r="A26" s="8" t="s">
        <v>177</v>
      </c>
      <c r="B26" s="9">
        <v>570879</v>
      </c>
      <c r="C26" s="6">
        <v>-864057</v>
      </c>
      <c r="D26" s="9">
        <v>823806</v>
      </c>
      <c r="E26" s="9">
        <v>1098159</v>
      </c>
      <c r="F26" s="6">
        <v>708876</v>
      </c>
      <c r="G26" s="9">
        <v>-938507</v>
      </c>
      <c r="H26" s="9">
        <v>523653</v>
      </c>
      <c r="I26" s="9">
        <v>-1614596</v>
      </c>
      <c r="J26" s="9">
        <v>223526</v>
      </c>
      <c r="K26" s="9">
        <v>838200</v>
      </c>
      <c r="L26" s="9">
        <v>-768399</v>
      </c>
      <c r="M26" s="9">
        <v>-668698</v>
      </c>
      <c r="N26" s="9">
        <v>-7915</v>
      </c>
      <c r="O26" s="9">
        <v>-132656</v>
      </c>
      <c r="P26" s="9">
        <v>341377</v>
      </c>
      <c r="Q26" s="9">
        <v>71107</v>
      </c>
      <c r="R26" s="9">
        <v>-29824</v>
      </c>
      <c r="S26" s="9">
        <v>633756</v>
      </c>
      <c r="T26" s="9">
        <v>-535258</v>
      </c>
      <c r="U26" s="9">
        <v>131860</v>
      </c>
      <c r="V26" s="9">
        <v>266998</v>
      </c>
      <c r="W26" s="9">
        <v>700811</v>
      </c>
      <c r="X26" s="9">
        <v>-316305</v>
      </c>
      <c r="Y26" s="9">
        <v>-346877</v>
      </c>
      <c r="Z26" s="9">
        <v>738013</v>
      </c>
      <c r="AA26" s="9">
        <v>950941</v>
      </c>
      <c r="AB26" s="9">
        <v>795413</v>
      </c>
      <c r="AC26" s="9">
        <v>2047088</v>
      </c>
      <c r="AD26" s="9">
        <v>-1498791</v>
      </c>
      <c r="AE26" s="9">
        <v>801365</v>
      </c>
      <c r="AF26" s="9">
        <v>3094613</v>
      </c>
      <c r="AG26" s="9">
        <v>-3341908</v>
      </c>
      <c r="AH26" s="9">
        <v>-197654</v>
      </c>
      <c r="AI26" s="9">
        <v>-25001</v>
      </c>
      <c r="AJ26" s="9">
        <v>1252371</v>
      </c>
      <c r="AK26" s="9">
        <v>-607444</v>
      </c>
      <c r="AL26" s="9">
        <v>367399</v>
      </c>
      <c r="AM26" s="9">
        <v>810084</v>
      </c>
      <c r="AN26" s="9">
        <v>-1359150</v>
      </c>
      <c r="AO26" s="9">
        <v>2903688</v>
      </c>
      <c r="AP26" s="9">
        <v>2631912</v>
      </c>
      <c r="AQ26" s="9">
        <v>706941</v>
      </c>
      <c r="AR26" s="9">
        <v>-1557268</v>
      </c>
      <c r="AS26" s="9">
        <v>227484</v>
      </c>
      <c r="AT26" s="9">
        <v>-2559713</v>
      </c>
      <c r="AU26" s="9">
        <v>-424659</v>
      </c>
      <c r="AV26" s="9">
        <v>3052160</v>
      </c>
      <c r="AW26" s="9">
        <v>-1536200</v>
      </c>
      <c r="AX26" s="9">
        <v>991875</v>
      </c>
      <c r="AY26" s="9">
        <v>-2771133</v>
      </c>
      <c r="AZ26" s="9">
        <v>126015</v>
      </c>
      <c r="BA26" s="9">
        <v>-1650307</v>
      </c>
      <c r="BB26" s="9">
        <v>1496282</v>
      </c>
      <c r="BC26" s="9">
        <v>691408</v>
      </c>
      <c r="BD26" s="9">
        <v>3148007</v>
      </c>
      <c r="BE26" s="9">
        <v>-2623527</v>
      </c>
      <c r="BF26" s="9">
        <v>4866393</v>
      </c>
      <c r="BG26" s="9">
        <v>2425043</v>
      </c>
    </row>
    <row r="27" spans="1:59" x14ac:dyDescent="0.25">
      <c r="A27" s="8" t="s">
        <v>178</v>
      </c>
      <c r="B27" s="9">
        <v>-1576</v>
      </c>
      <c r="C27" s="6">
        <v>-1648</v>
      </c>
      <c r="D27" s="9">
        <v>-6350</v>
      </c>
      <c r="E27" s="9">
        <v>6207</v>
      </c>
      <c r="F27" s="4">
        <v>0</v>
      </c>
      <c r="G27" s="10">
        <v>-70</v>
      </c>
      <c r="H27" s="10">
        <v>-186</v>
      </c>
      <c r="I27" s="10">
        <v>692</v>
      </c>
      <c r="J27" s="10">
        <v>0</v>
      </c>
      <c r="K27" s="10">
        <v>-116</v>
      </c>
      <c r="L27" s="10">
        <v>-996</v>
      </c>
      <c r="M27" s="9">
        <v>-1105</v>
      </c>
      <c r="N27" s="10">
        <v>-732</v>
      </c>
      <c r="O27" s="10">
        <v>-24</v>
      </c>
      <c r="P27" s="10">
        <v>-413</v>
      </c>
      <c r="Q27" s="9">
        <v>-15459</v>
      </c>
      <c r="R27" s="10">
        <v>0</v>
      </c>
      <c r="S27" s="10">
        <v>-125</v>
      </c>
      <c r="T27" s="10">
        <v>-2</v>
      </c>
      <c r="U27" s="10">
        <v>0</v>
      </c>
      <c r="V27" s="10">
        <v>0</v>
      </c>
      <c r="W27" s="10">
        <v>-24</v>
      </c>
      <c r="X27" s="10">
        <v>0</v>
      </c>
      <c r="Y27" s="10">
        <v>-239</v>
      </c>
      <c r="Z27" s="10">
        <v>0</v>
      </c>
      <c r="AA27" s="10">
        <v>0</v>
      </c>
      <c r="AB27" s="10">
        <v>0</v>
      </c>
      <c r="AC27" s="10">
        <v>-59</v>
      </c>
      <c r="AD27" s="10">
        <v>-27</v>
      </c>
      <c r="AE27" s="9">
        <v>-2041</v>
      </c>
      <c r="AF27" s="9">
        <v>-7609</v>
      </c>
      <c r="AG27" s="10">
        <v>-236</v>
      </c>
      <c r="AH27" s="10">
        <v>-5</v>
      </c>
      <c r="AI27" s="10">
        <v>-19</v>
      </c>
      <c r="AJ27" s="10">
        <v>-473</v>
      </c>
      <c r="AK27" s="10">
        <v>-118</v>
      </c>
      <c r="AL27" s="10">
        <v>-41</v>
      </c>
      <c r="AM27" s="10">
        <v>-77</v>
      </c>
      <c r="AN27" s="9">
        <v>-5224</v>
      </c>
      <c r="AO27" s="9">
        <v>-5407</v>
      </c>
      <c r="AP27" s="10">
        <v>-237</v>
      </c>
      <c r="AQ27" s="9">
        <v>-4108</v>
      </c>
      <c r="AR27" s="10">
        <v>-101</v>
      </c>
      <c r="AS27" s="10">
        <v>-410</v>
      </c>
      <c r="AT27" s="9">
        <v>-1845</v>
      </c>
      <c r="AU27" s="10">
        <v>-548</v>
      </c>
      <c r="AV27" s="10">
        <v>-439</v>
      </c>
      <c r="AW27" s="9">
        <v>-2181</v>
      </c>
      <c r="AX27" s="10">
        <v>-209</v>
      </c>
      <c r="AY27" s="9">
        <v>-1759</v>
      </c>
      <c r="AZ27" s="10">
        <v>-390</v>
      </c>
      <c r="BA27" s="10">
        <v>-221</v>
      </c>
      <c r="BB27" s="10">
        <v>-467</v>
      </c>
      <c r="BC27" s="10">
        <v>-2</v>
      </c>
      <c r="BD27" s="10">
        <v>-287</v>
      </c>
      <c r="BE27" s="9">
        <v>-1178</v>
      </c>
      <c r="BF27" s="10">
        <v>-264</v>
      </c>
      <c r="BG27" s="10">
        <v>-8</v>
      </c>
    </row>
    <row r="28" spans="1:59" x14ac:dyDescent="0.25">
      <c r="A28" s="5" t="s">
        <v>179</v>
      </c>
      <c r="B28" s="6">
        <v>-2443245</v>
      </c>
      <c r="C28" s="6">
        <v>-3628728</v>
      </c>
      <c r="D28" s="6">
        <v>-2138849</v>
      </c>
      <c r="E28" s="6">
        <v>-2167491</v>
      </c>
      <c r="F28" s="6">
        <v>-1152914</v>
      </c>
      <c r="G28" s="6">
        <v>2007972</v>
      </c>
      <c r="H28" s="6">
        <v>2271459</v>
      </c>
      <c r="I28" s="6">
        <v>-8213314</v>
      </c>
      <c r="J28" s="6">
        <v>-350068</v>
      </c>
      <c r="K28" s="6">
        <v>2290753</v>
      </c>
      <c r="L28" s="6">
        <v>5048014</v>
      </c>
      <c r="M28" s="6">
        <v>-5216531</v>
      </c>
      <c r="N28" s="6">
        <v>-8160437</v>
      </c>
      <c r="O28" s="6">
        <v>6506148</v>
      </c>
      <c r="P28" s="6">
        <v>454908</v>
      </c>
      <c r="Q28" s="6">
        <v>-5687580</v>
      </c>
      <c r="R28" s="6">
        <v>-6850751</v>
      </c>
      <c r="S28" s="6">
        <v>8808789</v>
      </c>
      <c r="T28" s="6">
        <v>-976896</v>
      </c>
      <c r="U28" s="6">
        <v>1374028</v>
      </c>
      <c r="V28" s="6">
        <v>4385098</v>
      </c>
      <c r="W28" s="6">
        <v>-1674643</v>
      </c>
      <c r="X28" s="6">
        <v>2862344</v>
      </c>
      <c r="Y28" s="6">
        <v>1506258</v>
      </c>
      <c r="Z28" s="6">
        <v>-8163415</v>
      </c>
      <c r="AA28" s="6">
        <v>19534066</v>
      </c>
      <c r="AB28" s="6">
        <v>-5809515</v>
      </c>
      <c r="AC28" s="6">
        <v>-5302007</v>
      </c>
      <c r="AD28" s="6">
        <v>6253458</v>
      </c>
      <c r="AE28" s="6">
        <v>3716830</v>
      </c>
      <c r="AF28" s="6">
        <v>797364</v>
      </c>
      <c r="AG28" s="6">
        <v>1959151</v>
      </c>
      <c r="AH28" s="6">
        <v>3884034</v>
      </c>
      <c r="AI28" s="6">
        <v>-1273819</v>
      </c>
      <c r="AJ28" s="6">
        <v>-12204399</v>
      </c>
      <c r="AK28" s="6">
        <v>-478976</v>
      </c>
      <c r="AL28" s="6">
        <v>-6954278</v>
      </c>
      <c r="AM28" s="6">
        <v>11205114</v>
      </c>
      <c r="AN28" s="6">
        <v>17974233</v>
      </c>
      <c r="AO28" s="6">
        <v>-9327951</v>
      </c>
      <c r="AP28" s="6">
        <v>24407775</v>
      </c>
      <c r="AQ28" s="6">
        <v>-4019664</v>
      </c>
      <c r="AR28" s="6">
        <v>15949913</v>
      </c>
      <c r="AS28" s="6">
        <v>19130477</v>
      </c>
      <c r="AT28" s="6">
        <v>-21874737</v>
      </c>
      <c r="AU28" s="6">
        <v>-2480003</v>
      </c>
      <c r="AV28" s="6">
        <v>22147334</v>
      </c>
      <c r="AW28" s="6">
        <v>14260693</v>
      </c>
      <c r="AX28" s="6">
        <v>13042575</v>
      </c>
      <c r="AY28" s="6">
        <v>5985634</v>
      </c>
      <c r="AZ28" s="6">
        <v>-1685321</v>
      </c>
      <c r="BA28" s="6">
        <v>25033667</v>
      </c>
      <c r="BB28" s="6">
        <v>-11015276</v>
      </c>
      <c r="BC28" s="6">
        <v>-7771212</v>
      </c>
      <c r="BD28" s="6">
        <v>19633015</v>
      </c>
      <c r="BE28" s="6">
        <v>38511806</v>
      </c>
      <c r="BF28" s="6">
        <v>-12087775</v>
      </c>
      <c r="BG28" s="6">
        <v>-4500399</v>
      </c>
    </row>
    <row r="29" spans="1:59" x14ac:dyDescent="0.25">
      <c r="A29" s="3" t="s">
        <v>180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>
        <v>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x14ac:dyDescent="0.25">
      <c r="A30" s="5" t="s">
        <v>181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/>
      <c r="AH30" s="4">
        <v>0</v>
      </c>
      <c r="AI30" s="4">
        <v>0</v>
      </c>
      <c r="AJ30" s="4">
        <v>0</v>
      </c>
      <c r="AK30" s="4"/>
      <c r="AL30" s="4">
        <v>0</v>
      </c>
      <c r="AM30" s="4"/>
      <c r="AN30" s="4">
        <v>0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x14ac:dyDescent="0.25">
      <c r="A31" s="5" t="s">
        <v>182</v>
      </c>
      <c r="B31" s="6">
        <v>-109085</v>
      </c>
      <c r="C31" s="6">
        <v>-34180</v>
      </c>
      <c r="D31" s="6">
        <v>-65891</v>
      </c>
      <c r="E31" s="6">
        <v>-1534521</v>
      </c>
      <c r="F31" s="6">
        <v>-34628</v>
      </c>
      <c r="G31" s="6">
        <v>-24656</v>
      </c>
      <c r="H31" s="6">
        <v>-65513</v>
      </c>
      <c r="I31" s="6">
        <v>-198362</v>
      </c>
      <c r="J31" s="6">
        <v>-5248</v>
      </c>
      <c r="K31" s="6">
        <v>-28054</v>
      </c>
      <c r="L31" s="6">
        <v>-32519</v>
      </c>
      <c r="M31" s="6">
        <v>-121826</v>
      </c>
      <c r="N31" s="6">
        <v>-33242</v>
      </c>
      <c r="O31" s="6">
        <v>-25109</v>
      </c>
      <c r="P31" s="6">
        <v>-19742</v>
      </c>
      <c r="Q31" s="6">
        <v>-46172</v>
      </c>
      <c r="R31" s="6">
        <v>-56397</v>
      </c>
      <c r="S31" s="6">
        <v>-738664</v>
      </c>
      <c r="T31" s="6">
        <v>-14435</v>
      </c>
      <c r="U31" s="6">
        <v>-132016</v>
      </c>
      <c r="V31" s="6">
        <v>-8830</v>
      </c>
      <c r="W31" s="6">
        <v>-5556</v>
      </c>
      <c r="X31" s="6">
        <v>-51164</v>
      </c>
      <c r="Y31" s="6">
        <v>-110265</v>
      </c>
      <c r="Z31" s="6">
        <v>-15166</v>
      </c>
      <c r="AA31" s="6">
        <v>-28496</v>
      </c>
      <c r="AB31" s="6">
        <v>-128196</v>
      </c>
      <c r="AC31" s="6">
        <v>-214783</v>
      </c>
      <c r="AD31" s="6">
        <v>-10355</v>
      </c>
      <c r="AE31" s="6">
        <v>-109638</v>
      </c>
      <c r="AF31" s="6">
        <v>-53557</v>
      </c>
      <c r="AG31" s="6">
        <v>-84071</v>
      </c>
      <c r="AH31" s="6">
        <v>-194696</v>
      </c>
      <c r="AI31" s="6">
        <v>-61282</v>
      </c>
      <c r="AJ31" s="6">
        <v>-157104</v>
      </c>
      <c r="AK31" s="6">
        <v>-268085</v>
      </c>
      <c r="AL31" s="6">
        <v>-143072</v>
      </c>
      <c r="AM31" s="6">
        <v>-337391</v>
      </c>
      <c r="AN31" s="6">
        <v>-179617</v>
      </c>
      <c r="AO31" s="6">
        <v>-279916</v>
      </c>
      <c r="AP31" s="6">
        <v>-112956</v>
      </c>
      <c r="AQ31" s="6">
        <v>-64703</v>
      </c>
      <c r="AR31" s="6">
        <v>-212131</v>
      </c>
      <c r="AS31" s="6">
        <v>-720321</v>
      </c>
      <c r="AT31" s="6">
        <v>-72509</v>
      </c>
      <c r="AU31" s="6">
        <v>-395291</v>
      </c>
      <c r="AV31" s="6">
        <v>-128954</v>
      </c>
      <c r="AW31" s="6">
        <v>-635604</v>
      </c>
      <c r="AX31" s="6">
        <v>-79305</v>
      </c>
      <c r="AY31" s="6">
        <v>-200950</v>
      </c>
      <c r="AZ31" s="6">
        <v>-286413</v>
      </c>
      <c r="BA31" s="6">
        <v>-1052218</v>
      </c>
      <c r="BB31" s="6">
        <v>-35503</v>
      </c>
      <c r="BC31" s="6">
        <v>-271585</v>
      </c>
      <c r="BD31" s="6">
        <v>-201513</v>
      </c>
      <c r="BE31" s="6">
        <v>-148429</v>
      </c>
      <c r="BF31" s="6">
        <v>-35724</v>
      </c>
      <c r="BG31" s="6">
        <v>-132552</v>
      </c>
    </row>
    <row r="32" spans="1:59" x14ac:dyDescent="0.25">
      <c r="A32" s="5" t="s">
        <v>183</v>
      </c>
      <c r="B32" s="18">
        <v>0</v>
      </c>
      <c r="C32" s="4">
        <v>0</v>
      </c>
      <c r="D32" s="4">
        <v>341</v>
      </c>
      <c r="E32" s="6">
        <v>430935</v>
      </c>
      <c r="F32" s="4">
        <v>82</v>
      </c>
      <c r="G32" s="18">
        <v>325</v>
      </c>
      <c r="H32" s="4">
        <v>17</v>
      </c>
      <c r="I32" s="6">
        <v>2837</v>
      </c>
      <c r="J32" s="4">
        <v>0</v>
      </c>
      <c r="K32" s="6">
        <v>1558</v>
      </c>
      <c r="L32" s="6">
        <v>1033</v>
      </c>
      <c r="M32" s="6">
        <v>8843</v>
      </c>
      <c r="N32" s="4">
        <v>37</v>
      </c>
      <c r="O32" s="4">
        <v>234</v>
      </c>
      <c r="P32" s="6">
        <v>46564</v>
      </c>
      <c r="Q32" s="6">
        <v>39745</v>
      </c>
      <c r="R32" s="4">
        <v>44</v>
      </c>
      <c r="S32" s="4">
        <v>257</v>
      </c>
      <c r="T32" s="4">
        <v>214</v>
      </c>
      <c r="U32" s="6">
        <v>1788</v>
      </c>
      <c r="V32" s="18">
        <v>195</v>
      </c>
      <c r="W32" s="4">
        <v>271</v>
      </c>
      <c r="X32" s="4">
        <v>376</v>
      </c>
      <c r="Y32" s="6">
        <v>4953</v>
      </c>
      <c r="Z32" s="6">
        <v>2398</v>
      </c>
      <c r="AA32" s="6">
        <v>4437</v>
      </c>
      <c r="AB32" s="6">
        <v>-6060</v>
      </c>
      <c r="AC32" s="4">
        <v>0</v>
      </c>
      <c r="AD32" s="6">
        <v>21389</v>
      </c>
      <c r="AE32" s="4">
        <v>799</v>
      </c>
      <c r="AF32" s="6">
        <v>4424</v>
      </c>
      <c r="AG32" s="6">
        <v>4816</v>
      </c>
      <c r="AH32" s="4">
        <v>358</v>
      </c>
      <c r="AI32" s="6">
        <v>4847</v>
      </c>
      <c r="AJ32" s="4">
        <v>831</v>
      </c>
      <c r="AK32" s="18">
        <v>801</v>
      </c>
      <c r="AL32" s="4">
        <v>355</v>
      </c>
      <c r="AM32" s="6">
        <v>56544</v>
      </c>
      <c r="AN32" s="4">
        <v>263</v>
      </c>
      <c r="AO32" s="4">
        <v>344</v>
      </c>
      <c r="AP32" s="6">
        <v>1824</v>
      </c>
      <c r="AQ32" s="4">
        <v>417</v>
      </c>
      <c r="AR32" s="4">
        <v>802</v>
      </c>
      <c r="AS32" s="6">
        <v>41068</v>
      </c>
      <c r="AT32" s="6">
        <v>6040</v>
      </c>
      <c r="AU32" s="6">
        <v>4379</v>
      </c>
      <c r="AV32" s="6">
        <v>9060</v>
      </c>
      <c r="AW32" s="6">
        <v>2677</v>
      </c>
      <c r="AX32" s="4">
        <v>236</v>
      </c>
      <c r="AY32" s="6">
        <v>1436</v>
      </c>
      <c r="AZ32" s="6">
        <v>229812</v>
      </c>
      <c r="BA32" s="6">
        <v>1510044</v>
      </c>
      <c r="BB32" s="4">
        <v>345</v>
      </c>
      <c r="BC32" s="6">
        <v>1499</v>
      </c>
      <c r="BD32" s="4">
        <v>840</v>
      </c>
      <c r="BE32" s="4">
        <v>819</v>
      </c>
      <c r="BF32" s="4">
        <v>672</v>
      </c>
      <c r="BG32" s="6">
        <v>50095</v>
      </c>
    </row>
    <row r="33" spans="1:59" x14ac:dyDescent="0.25">
      <c r="A33" s="5" t="s">
        <v>184</v>
      </c>
      <c r="B33" s="6">
        <v>-2042</v>
      </c>
      <c r="C33" s="4">
        <v>0</v>
      </c>
      <c r="D33" s="4">
        <v>-275</v>
      </c>
      <c r="E33" s="6">
        <v>-13603</v>
      </c>
      <c r="F33" s="4">
        <v>0</v>
      </c>
      <c r="G33" s="18">
        <v>0</v>
      </c>
      <c r="H33" s="4">
        <v>0</v>
      </c>
      <c r="I33" s="4">
        <v>0</v>
      </c>
      <c r="J33" s="4">
        <v>0</v>
      </c>
      <c r="K33" s="4">
        <v>-25</v>
      </c>
      <c r="L33" s="18">
        <v>0</v>
      </c>
      <c r="M33" s="6">
        <v>-8711</v>
      </c>
      <c r="N33" s="4">
        <v>-163</v>
      </c>
      <c r="O33" s="4">
        <v>163</v>
      </c>
      <c r="P33" s="6">
        <v>-43087</v>
      </c>
      <c r="Q33" s="6">
        <v>43087</v>
      </c>
      <c r="R33" s="4">
        <v>0</v>
      </c>
      <c r="S33" s="4">
        <v>-791</v>
      </c>
      <c r="T33" s="4">
        <v>-66</v>
      </c>
      <c r="U33" s="4">
        <v>-332</v>
      </c>
      <c r="V33" s="18">
        <v>-37</v>
      </c>
      <c r="W33" s="4">
        <v>-164</v>
      </c>
      <c r="X33" s="4">
        <v>-516</v>
      </c>
      <c r="Y33" s="4">
        <v>0</v>
      </c>
      <c r="Z33" s="4">
        <v>0</v>
      </c>
      <c r="AA33" s="6">
        <v>-8447</v>
      </c>
      <c r="AB33" s="6">
        <v>6214</v>
      </c>
      <c r="AC33" s="4">
        <v>-69</v>
      </c>
      <c r="AD33" s="4">
        <v>-30</v>
      </c>
      <c r="AE33" s="4">
        <v>0</v>
      </c>
      <c r="AF33" s="18">
        <v>-154</v>
      </c>
      <c r="AG33" s="4">
        <v>-84</v>
      </c>
      <c r="AH33" s="4">
        <v>0</v>
      </c>
      <c r="AI33" s="4">
        <v>0</v>
      </c>
      <c r="AJ33" s="4">
        <v>-551</v>
      </c>
      <c r="AK33" s="18">
        <v>-8</v>
      </c>
      <c r="AL33" s="4">
        <v>0</v>
      </c>
      <c r="AM33" s="4"/>
      <c r="AN33" s="4">
        <v>0</v>
      </c>
      <c r="AO33" s="4"/>
      <c r="AP33" s="4"/>
      <c r="AQ33" s="4"/>
      <c r="AR33" s="4"/>
      <c r="AS33" s="18">
        <v>-51</v>
      </c>
      <c r="AT33" s="4">
        <v>-32</v>
      </c>
      <c r="AU33" s="18">
        <v>0</v>
      </c>
      <c r="AV33" s="4">
        <v>0</v>
      </c>
      <c r="AW33" s="4">
        <v>-3</v>
      </c>
      <c r="AX33" s="4">
        <v>-2</v>
      </c>
      <c r="AY33" s="4">
        <v>0</v>
      </c>
      <c r="AZ33" s="18">
        <v>-38</v>
      </c>
      <c r="BA33" s="6">
        <v>-1249703</v>
      </c>
      <c r="BB33" s="4">
        <v>-43</v>
      </c>
      <c r="BC33" s="6">
        <v>-2243</v>
      </c>
      <c r="BD33" s="4">
        <v>-673</v>
      </c>
      <c r="BE33" s="4">
        <v>-56</v>
      </c>
      <c r="BF33" s="4">
        <v>-130</v>
      </c>
      <c r="BG33" s="4">
        <v>130</v>
      </c>
    </row>
    <row r="34" spans="1:59" x14ac:dyDescent="0.25">
      <c r="A34" s="5" t="s">
        <v>185</v>
      </c>
      <c r="B34" s="4">
        <v>0</v>
      </c>
      <c r="C34" s="4">
        <v>0</v>
      </c>
      <c r="D34" s="6">
        <v>-1324285</v>
      </c>
      <c r="E34" s="6">
        <v>1324285</v>
      </c>
      <c r="F34" s="4">
        <v>0</v>
      </c>
      <c r="G34" s="4">
        <v>0</v>
      </c>
      <c r="H34" s="6">
        <v>-5007</v>
      </c>
      <c r="I34" s="6">
        <v>5007</v>
      </c>
      <c r="J34" s="6">
        <v>-5830</v>
      </c>
      <c r="K34" s="6">
        <v>5830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-644</v>
      </c>
      <c r="S34" s="4">
        <v>644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/>
      <c r="AH34" s="4">
        <v>0</v>
      </c>
      <c r="AI34" s="4">
        <v>0</v>
      </c>
      <c r="AJ34" s="4">
        <v>0</v>
      </c>
      <c r="AK34" s="4"/>
      <c r="AL34" s="4">
        <v>0</v>
      </c>
      <c r="AM34" s="4"/>
      <c r="AN34" s="4">
        <v>0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>
        <v>0</v>
      </c>
      <c r="BA34" s="4"/>
      <c r="BB34" s="4"/>
      <c r="BC34" s="4"/>
      <c r="BD34" s="4"/>
      <c r="BE34" s="4"/>
      <c r="BF34" s="4"/>
      <c r="BG34" s="4"/>
    </row>
    <row r="35" spans="1:59" x14ac:dyDescent="0.25">
      <c r="A35" s="5" t="s">
        <v>186</v>
      </c>
      <c r="B35" s="18">
        <v>0</v>
      </c>
      <c r="C35" s="4">
        <v>0</v>
      </c>
      <c r="D35" s="4">
        <v>0</v>
      </c>
      <c r="E35" s="4">
        <v>0</v>
      </c>
      <c r="F35" s="4">
        <v>0</v>
      </c>
      <c r="G35" s="18">
        <v>0</v>
      </c>
      <c r="H35" s="4">
        <v>0</v>
      </c>
      <c r="I35" s="4">
        <v>0</v>
      </c>
      <c r="J35" s="4">
        <v>0</v>
      </c>
      <c r="K35" s="4">
        <v>0</v>
      </c>
      <c r="L35" s="18">
        <v>0</v>
      </c>
      <c r="M35" s="4">
        <v>0</v>
      </c>
      <c r="N35" s="4">
        <v>0</v>
      </c>
      <c r="O35" s="4">
        <v>0</v>
      </c>
      <c r="P35" s="4">
        <v>0</v>
      </c>
      <c r="Q35" s="18">
        <v>0</v>
      </c>
      <c r="R35" s="4">
        <v>0</v>
      </c>
      <c r="S35" s="4">
        <v>0</v>
      </c>
      <c r="T35" s="4">
        <v>0</v>
      </c>
      <c r="U35" s="4">
        <v>0</v>
      </c>
      <c r="V35" s="18">
        <v>0</v>
      </c>
      <c r="W35" s="4">
        <v>0</v>
      </c>
      <c r="X35" s="4">
        <v>0</v>
      </c>
      <c r="Y35" s="4">
        <v>0</v>
      </c>
      <c r="Z35" s="6">
        <v>2020</v>
      </c>
      <c r="AA35" s="6">
        <v>-2020</v>
      </c>
      <c r="AB35" s="4">
        <v>0</v>
      </c>
      <c r="AC35" s="4">
        <v>0</v>
      </c>
      <c r="AD35" s="4">
        <v>0</v>
      </c>
      <c r="AE35" s="4">
        <v>0</v>
      </c>
      <c r="AF35" s="18">
        <v>0</v>
      </c>
      <c r="AG35" s="4"/>
      <c r="AH35" s="4">
        <v>0</v>
      </c>
      <c r="AI35" s="4">
        <v>0</v>
      </c>
      <c r="AJ35" s="4">
        <v>0</v>
      </c>
      <c r="AK35" s="4"/>
      <c r="AL35" s="18">
        <v>0</v>
      </c>
      <c r="AM35" s="4"/>
      <c r="AN35" s="4">
        <v>0</v>
      </c>
      <c r="AO35" s="4"/>
      <c r="AP35" s="4"/>
      <c r="AQ35" s="4"/>
      <c r="AR35" s="4"/>
      <c r="AS35" s="4"/>
      <c r="AT35" s="6">
        <v>324000</v>
      </c>
      <c r="AU35" s="6">
        <v>382080</v>
      </c>
      <c r="AV35" s="4">
        <v>0</v>
      </c>
      <c r="AW35" s="6">
        <v>590367</v>
      </c>
      <c r="AX35" s="6">
        <v>736219</v>
      </c>
      <c r="AY35" s="4">
        <v>0</v>
      </c>
      <c r="AZ35" s="4"/>
      <c r="BA35" s="4"/>
      <c r="BB35" s="4"/>
      <c r="BC35" s="4"/>
      <c r="BD35" s="4"/>
      <c r="BE35" s="4"/>
      <c r="BF35" s="4"/>
      <c r="BG35" s="4"/>
    </row>
    <row r="36" spans="1:59" x14ac:dyDescent="0.25">
      <c r="A36" s="5" t="s">
        <v>187</v>
      </c>
      <c r="B36" s="18">
        <v>0</v>
      </c>
      <c r="C36" s="4">
        <v>0</v>
      </c>
      <c r="D36" s="4">
        <v>0</v>
      </c>
      <c r="E36" s="4">
        <v>0</v>
      </c>
      <c r="F36" s="4">
        <v>0</v>
      </c>
      <c r="G36" s="18">
        <v>0</v>
      </c>
      <c r="H36" s="4">
        <v>0</v>
      </c>
      <c r="I36" s="4">
        <v>0</v>
      </c>
      <c r="J36" s="4">
        <v>0</v>
      </c>
      <c r="K36" s="4">
        <v>0</v>
      </c>
      <c r="L36" s="18">
        <v>0</v>
      </c>
      <c r="M36" s="4">
        <v>0</v>
      </c>
      <c r="N36" s="4">
        <v>0</v>
      </c>
      <c r="O36" s="4">
        <v>0</v>
      </c>
      <c r="P36" s="4">
        <v>0</v>
      </c>
      <c r="Q36" s="18">
        <v>0</v>
      </c>
      <c r="R36" s="4">
        <v>0</v>
      </c>
      <c r="S36" s="4">
        <v>0</v>
      </c>
      <c r="T36" s="4">
        <v>0</v>
      </c>
      <c r="U36" s="4">
        <v>0</v>
      </c>
      <c r="V36" s="18">
        <v>0</v>
      </c>
      <c r="W36" s="4">
        <v>0</v>
      </c>
      <c r="X36" s="4">
        <v>0</v>
      </c>
      <c r="Y36" s="4">
        <v>0</v>
      </c>
      <c r="Z36" s="4">
        <v>0</v>
      </c>
      <c r="AA36" s="18">
        <v>0</v>
      </c>
      <c r="AB36" s="4">
        <v>0</v>
      </c>
      <c r="AC36" s="4">
        <v>0</v>
      </c>
      <c r="AD36" s="4">
        <v>0</v>
      </c>
      <c r="AE36" s="4">
        <v>0</v>
      </c>
      <c r="AF36" s="18">
        <v>0</v>
      </c>
      <c r="AG36" s="4"/>
      <c r="AH36" s="4">
        <v>0</v>
      </c>
      <c r="AI36" s="4">
        <v>0</v>
      </c>
      <c r="AJ36" s="4">
        <v>0</v>
      </c>
      <c r="AK36" s="4"/>
      <c r="AL36" s="18">
        <v>0</v>
      </c>
      <c r="AM36" s="4"/>
      <c r="AN36" s="4">
        <v>0</v>
      </c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x14ac:dyDescent="0.25">
      <c r="A37" s="5" t="s">
        <v>188</v>
      </c>
      <c r="B37" s="18">
        <v>-773</v>
      </c>
      <c r="C37" s="6">
        <v>-14425</v>
      </c>
      <c r="D37" s="4">
        <v>-722</v>
      </c>
      <c r="E37" s="6">
        <v>15920</v>
      </c>
      <c r="F37" s="4">
        <v>0</v>
      </c>
      <c r="G37" s="18">
        <v>0</v>
      </c>
      <c r="H37" s="6">
        <v>-36400</v>
      </c>
      <c r="I37" s="4">
        <v>600</v>
      </c>
      <c r="J37" s="4">
        <v>0</v>
      </c>
      <c r="K37" s="4">
        <v>0</v>
      </c>
      <c r="L37" s="18">
        <v>0</v>
      </c>
      <c r="M37" s="6">
        <v>-509005</v>
      </c>
      <c r="N37" s="4">
        <v>0</v>
      </c>
      <c r="O37" s="6">
        <v>-1677</v>
      </c>
      <c r="P37" s="6">
        <v>1677</v>
      </c>
      <c r="Q37" s="18">
        <v>0</v>
      </c>
      <c r="R37" s="4">
        <v>0</v>
      </c>
      <c r="S37" s="4">
        <v>0</v>
      </c>
      <c r="T37" s="6">
        <v>17810</v>
      </c>
      <c r="U37" s="4">
        <v>748</v>
      </c>
      <c r="V37" s="18">
        <v>0</v>
      </c>
      <c r="W37" s="4">
        <v>0</v>
      </c>
      <c r="X37" s="4">
        <v>0</v>
      </c>
      <c r="Y37" s="6">
        <v>925780</v>
      </c>
      <c r="Z37" s="4">
        <v>0</v>
      </c>
      <c r="AA37" s="18">
        <v>0</v>
      </c>
      <c r="AB37" s="4">
        <v>0</v>
      </c>
      <c r="AC37" s="4">
        <v>0</v>
      </c>
      <c r="AD37" s="4">
        <v>0</v>
      </c>
      <c r="AE37" s="4">
        <v>0</v>
      </c>
      <c r="AF37" s="18">
        <v>0</v>
      </c>
      <c r="AG37" s="4"/>
      <c r="AH37" s="4">
        <v>0</v>
      </c>
      <c r="AI37" s="4">
        <v>0</v>
      </c>
      <c r="AJ37" s="4">
        <v>0</v>
      </c>
      <c r="AK37" s="4"/>
      <c r="AL37" s="18">
        <v>0</v>
      </c>
      <c r="AM37" s="6">
        <v>-1444</v>
      </c>
      <c r="AN37" s="4">
        <v>-53</v>
      </c>
      <c r="AO37" s="4"/>
      <c r="AP37" s="4"/>
      <c r="AQ37" s="4"/>
      <c r="AR37" s="4"/>
      <c r="AS37" s="4"/>
      <c r="AT37" s="4"/>
      <c r="AU37" s="6">
        <v>-3033432</v>
      </c>
      <c r="AV37" s="4">
        <v>0</v>
      </c>
      <c r="AW37" s="4"/>
      <c r="AX37" s="4"/>
      <c r="AY37" s="6">
        <v>-1278</v>
      </c>
      <c r="AZ37" s="18">
        <v>0</v>
      </c>
      <c r="BA37" s="6">
        <v>-55000</v>
      </c>
      <c r="BB37" s="4"/>
      <c r="BC37" s="6">
        <v>-10283</v>
      </c>
      <c r="BD37" s="6">
        <v>-33000</v>
      </c>
      <c r="BE37" s="6">
        <v>-156553</v>
      </c>
      <c r="BF37" s="4"/>
      <c r="BG37" s="4"/>
    </row>
    <row r="38" spans="1:59" x14ac:dyDescent="0.25">
      <c r="A38" s="5" t="s">
        <v>189</v>
      </c>
      <c r="B38" s="18">
        <v>0</v>
      </c>
      <c r="C38" s="4">
        <v>0</v>
      </c>
      <c r="D38" s="4">
        <v>0</v>
      </c>
      <c r="E38" s="4">
        <v>0</v>
      </c>
      <c r="F38" s="4">
        <v>0</v>
      </c>
      <c r="G38" s="18">
        <v>0</v>
      </c>
      <c r="H38" s="4">
        <v>0</v>
      </c>
      <c r="I38" s="4">
        <v>0</v>
      </c>
      <c r="J38" s="4">
        <v>0</v>
      </c>
      <c r="K38" s="4">
        <v>0</v>
      </c>
      <c r="L38" s="18">
        <v>0</v>
      </c>
      <c r="M38" s="4">
        <v>0</v>
      </c>
      <c r="N38" s="4">
        <v>0</v>
      </c>
      <c r="O38" s="4">
        <v>0</v>
      </c>
      <c r="P38" s="6">
        <v>36400</v>
      </c>
      <c r="Q38" s="18">
        <v>0</v>
      </c>
      <c r="R38" s="4">
        <v>0</v>
      </c>
      <c r="S38" s="6">
        <v>17100</v>
      </c>
      <c r="T38" s="6">
        <v>-17100</v>
      </c>
      <c r="U38" s="4">
        <v>0</v>
      </c>
      <c r="V38" s="6">
        <v>925180</v>
      </c>
      <c r="W38" s="4">
        <v>300</v>
      </c>
      <c r="X38" s="4">
        <v>0</v>
      </c>
      <c r="Y38" s="6">
        <v>-925480</v>
      </c>
      <c r="Z38" s="6">
        <v>894428</v>
      </c>
      <c r="AA38" s="18">
        <v>-1</v>
      </c>
      <c r="AB38" s="4">
        <v>0</v>
      </c>
      <c r="AC38" s="4">
        <v>1</v>
      </c>
      <c r="AD38" s="4">
        <v>0</v>
      </c>
      <c r="AE38" s="4">
        <v>0</v>
      </c>
      <c r="AF38" s="18">
        <v>0</v>
      </c>
      <c r="AG38" s="4"/>
      <c r="AH38" s="4">
        <v>0</v>
      </c>
      <c r="AI38" s="4">
        <v>0</v>
      </c>
      <c r="AJ38" s="4">
        <v>0</v>
      </c>
      <c r="AK38" s="4"/>
      <c r="AL38" s="18">
        <v>0</v>
      </c>
      <c r="AM38" s="4"/>
      <c r="AN38" s="4">
        <v>0</v>
      </c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6">
        <v>2217</v>
      </c>
      <c r="BG38" s="6">
        <v>162783</v>
      </c>
    </row>
    <row r="39" spans="1:59" x14ac:dyDescent="0.25">
      <c r="A39" s="5" t="s">
        <v>190</v>
      </c>
      <c r="B39" s="6">
        <v>5962</v>
      </c>
      <c r="C39" s="6">
        <v>18784</v>
      </c>
      <c r="D39" s="4">
        <v>156</v>
      </c>
      <c r="E39" s="6">
        <v>5090</v>
      </c>
      <c r="F39" s="6">
        <v>6007</v>
      </c>
      <c r="G39" s="6">
        <v>8319</v>
      </c>
      <c r="H39" s="6">
        <v>14141</v>
      </c>
      <c r="I39" s="6">
        <v>-11214</v>
      </c>
      <c r="J39" s="4">
        <v>552</v>
      </c>
      <c r="K39" s="6">
        <v>1467</v>
      </c>
      <c r="L39" s="6">
        <v>2974</v>
      </c>
      <c r="M39" s="4">
        <v>0</v>
      </c>
      <c r="N39" s="4">
        <v>857</v>
      </c>
      <c r="O39" s="6">
        <v>8300</v>
      </c>
      <c r="P39" s="6">
        <v>15306</v>
      </c>
      <c r="Q39" s="6">
        <v>-13648</v>
      </c>
      <c r="R39" s="4">
        <v>80</v>
      </c>
      <c r="S39" s="4">
        <v>390</v>
      </c>
      <c r="T39" s="4">
        <v>0</v>
      </c>
      <c r="U39" s="4">
        <v>0</v>
      </c>
      <c r="V39" s="18">
        <v>0</v>
      </c>
      <c r="W39" s="4">
        <v>0</v>
      </c>
      <c r="X39" s="4">
        <v>271</v>
      </c>
      <c r="Y39" s="4">
        <v>63</v>
      </c>
      <c r="Z39" s="4">
        <v>0</v>
      </c>
      <c r="AA39" s="18">
        <v>276</v>
      </c>
      <c r="AB39" s="4">
        <v>0</v>
      </c>
      <c r="AC39" s="4">
        <v>-1</v>
      </c>
      <c r="AD39" s="4">
        <v>34</v>
      </c>
      <c r="AE39" s="4">
        <v>146</v>
      </c>
      <c r="AF39" s="6">
        <v>4016</v>
      </c>
      <c r="AG39" s="4">
        <v>20</v>
      </c>
      <c r="AH39" s="4">
        <v>0</v>
      </c>
      <c r="AI39" s="4">
        <v>39</v>
      </c>
      <c r="AJ39" s="4">
        <v>150</v>
      </c>
      <c r="AK39" s="6">
        <v>4002</v>
      </c>
      <c r="AL39" s="4">
        <v>21</v>
      </c>
      <c r="AM39" s="4">
        <v>21</v>
      </c>
      <c r="AN39" s="4">
        <v>20</v>
      </c>
      <c r="AO39" s="6">
        <v>3981</v>
      </c>
      <c r="AP39" s="18">
        <v>48</v>
      </c>
      <c r="AQ39" s="6">
        <v>2292</v>
      </c>
      <c r="AR39" s="6">
        <v>6406</v>
      </c>
      <c r="AS39" s="4">
        <v>30</v>
      </c>
      <c r="AT39" s="6">
        <v>2642</v>
      </c>
      <c r="AU39" s="18">
        <v>30</v>
      </c>
      <c r="AV39" s="6">
        <v>8451</v>
      </c>
      <c r="AW39" s="6">
        <v>23633</v>
      </c>
      <c r="AX39" s="4">
        <v>37</v>
      </c>
      <c r="AY39" s="6">
        <v>58051</v>
      </c>
      <c r="AZ39" s="6">
        <v>6406</v>
      </c>
      <c r="BA39" s="4">
        <v>67</v>
      </c>
      <c r="BB39" s="4">
        <v>43</v>
      </c>
      <c r="BC39" s="6">
        <v>31518</v>
      </c>
      <c r="BD39" s="6">
        <v>6497</v>
      </c>
      <c r="BE39" s="6">
        <v>1880</v>
      </c>
      <c r="BF39" s="4"/>
      <c r="BG39" s="6">
        <v>9706</v>
      </c>
    </row>
    <row r="40" spans="1:59" x14ac:dyDescent="0.25">
      <c r="A40" s="5" t="s">
        <v>191</v>
      </c>
      <c r="B40" s="6">
        <v>-105938</v>
      </c>
      <c r="C40" s="6">
        <v>-29821</v>
      </c>
      <c r="D40" s="6">
        <v>-1390676</v>
      </c>
      <c r="E40" s="6">
        <v>228106</v>
      </c>
      <c r="F40" s="6">
        <v>-28539</v>
      </c>
      <c r="G40" s="6">
        <v>-16011</v>
      </c>
      <c r="H40" s="6">
        <v>-92762</v>
      </c>
      <c r="I40" s="6">
        <v>-201132</v>
      </c>
      <c r="J40" s="6">
        <v>-10526</v>
      </c>
      <c r="K40" s="6">
        <v>-19224</v>
      </c>
      <c r="L40" s="6">
        <v>-28512</v>
      </c>
      <c r="M40" s="6">
        <v>-630699</v>
      </c>
      <c r="N40" s="6">
        <v>-32511</v>
      </c>
      <c r="O40" s="6">
        <v>-18089</v>
      </c>
      <c r="P40" s="6">
        <v>37118</v>
      </c>
      <c r="Q40" s="6">
        <v>23012</v>
      </c>
      <c r="R40" s="6">
        <v>-56917</v>
      </c>
      <c r="S40" s="6">
        <v>-721064</v>
      </c>
      <c r="T40" s="6">
        <v>-13577</v>
      </c>
      <c r="U40" s="6">
        <v>-129812</v>
      </c>
      <c r="V40" s="6">
        <v>916508</v>
      </c>
      <c r="W40" s="6">
        <v>-5149</v>
      </c>
      <c r="X40" s="6">
        <v>-51033</v>
      </c>
      <c r="Y40" s="6">
        <v>-104949</v>
      </c>
      <c r="Z40" s="6">
        <v>883680</v>
      </c>
      <c r="AA40" s="6">
        <v>-34251</v>
      </c>
      <c r="AB40" s="6">
        <v>-128042</v>
      </c>
      <c r="AC40" s="6">
        <v>-214852</v>
      </c>
      <c r="AD40" s="6">
        <v>11038</v>
      </c>
      <c r="AE40" s="6">
        <v>-108693</v>
      </c>
      <c r="AF40" s="6">
        <v>-45271</v>
      </c>
      <c r="AG40" s="6">
        <v>-79319</v>
      </c>
      <c r="AH40" s="6">
        <v>-194338</v>
      </c>
      <c r="AI40" s="6">
        <v>-56396</v>
      </c>
      <c r="AJ40" s="6">
        <v>-156674</v>
      </c>
      <c r="AK40" s="6">
        <v>-263290</v>
      </c>
      <c r="AL40" s="6">
        <v>-142696</v>
      </c>
      <c r="AM40" s="6">
        <v>-282270</v>
      </c>
      <c r="AN40" s="6">
        <v>-179387</v>
      </c>
      <c r="AO40" s="6">
        <v>-275591</v>
      </c>
      <c r="AP40" s="6">
        <v>-111084</v>
      </c>
      <c r="AQ40" s="6">
        <v>-61994</v>
      </c>
      <c r="AR40" s="6">
        <v>-204923</v>
      </c>
      <c r="AS40" s="6">
        <v>-679274</v>
      </c>
      <c r="AT40" s="6">
        <v>260141</v>
      </c>
      <c r="AU40" s="6">
        <v>-3042234</v>
      </c>
      <c r="AV40" s="6">
        <v>-111443</v>
      </c>
      <c r="AW40" s="6">
        <v>-18930</v>
      </c>
      <c r="AX40" s="6">
        <v>657185</v>
      </c>
      <c r="AY40" s="6">
        <v>-142741</v>
      </c>
      <c r="AZ40" s="6">
        <v>-50233</v>
      </c>
      <c r="BA40" s="6">
        <v>-846810</v>
      </c>
      <c r="BB40" s="6">
        <v>-35158</v>
      </c>
      <c r="BC40" s="6">
        <v>-251094</v>
      </c>
      <c r="BD40" s="6">
        <v>-227849</v>
      </c>
      <c r="BE40" s="6">
        <v>-302339</v>
      </c>
      <c r="BF40" s="6">
        <v>-32965</v>
      </c>
      <c r="BG40" s="6">
        <v>90162</v>
      </c>
    </row>
    <row r="41" spans="1:59" x14ac:dyDescent="0.25">
      <c r="A41" s="3" t="s">
        <v>192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>
        <v>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x14ac:dyDescent="0.25">
      <c r="A42" s="5" t="s">
        <v>193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6">
        <v>2099999</v>
      </c>
      <c r="Z42" s="4">
        <v>0</v>
      </c>
      <c r="AA42" s="4">
        <v>0</v>
      </c>
      <c r="AB42" s="4">
        <v>0</v>
      </c>
      <c r="AC42" s="6">
        <v>58201</v>
      </c>
      <c r="AD42" s="6">
        <v>58201</v>
      </c>
      <c r="AE42" s="6">
        <v>12137</v>
      </c>
      <c r="AF42" s="4">
        <v>0</v>
      </c>
      <c r="AG42" s="6">
        <v>35428</v>
      </c>
      <c r="AH42" s="4">
        <v>0</v>
      </c>
      <c r="AI42" s="4">
        <v>0</v>
      </c>
      <c r="AJ42" s="4">
        <v>0</v>
      </c>
      <c r="AK42" s="6">
        <v>48253</v>
      </c>
      <c r="AL42" s="4"/>
      <c r="AM42" s="4"/>
      <c r="AN42" s="6">
        <v>60053</v>
      </c>
      <c r="AO42" s="4"/>
      <c r="AP42" s="6">
        <v>1894</v>
      </c>
      <c r="AQ42" s="4">
        <v>0</v>
      </c>
      <c r="AR42" s="6">
        <v>61343</v>
      </c>
      <c r="AS42" s="4">
        <v>-59</v>
      </c>
      <c r="AT42" s="4">
        <v>854</v>
      </c>
      <c r="AU42" s="4">
        <v>0</v>
      </c>
      <c r="AV42" s="4"/>
      <c r="AW42" s="6">
        <v>51810</v>
      </c>
      <c r="AX42" s="4"/>
      <c r="AY42" s="6">
        <v>2253</v>
      </c>
      <c r="AZ42" s="4">
        <v>0</v>
      </c>
      <c r="BA42" s="6">
        <v>198242</v>
      </c>
      <c r="BB42" s="4"/>
      <c r="BC42" s="6">
        <v>1376714</v>
      </c>
      <c r="BD42" s="6">
        <v>10730125</v>
      </c>
      <c r="BE42" s="6">
        <v>213822</v>
      </c>
      <c r="BF42" s="6">
        <v>2755</v>
      </c>
      <c r="BG42" s="4"/>
    </row>
    <row r="43" spans="1:59" x14ac:dyDescent="0.25">
      <c r="A43" s="5" t="s">
        <v>194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2127</v>
      </c>
      <c r="V43" s="6">
        <v>-8164</v>
      </c>
      <c r="W43" s="6">
        <v>16328</v>
      </c>
      <c r="X43" s="4">
        <v>0</v>
      </c>
      <c r="Y43" s="6">
        <v>2700000</v>
      </c>
      <c r="Z43" s="4">
        <v>0</v>
      </c>
      <c r="AA43" s="4">
        <v>0</v>
      </c>
      <c r="AB43" s="4">
        <v>0</v>
      </c>
      <c r="AC43" s="6">
        <v>310000</v>
      </c>
      <c r="AD43" s="4">
        <v>0</v>
      </c>
      <c r="AE43" s="4">
        <v>0</v>
      </c>
      <c r="AF43" s="4">
        <v>0</v>
      </c>
      <c r="AG43" s="4"/>
      <c r="AH43" s="4">
        <v>0</v>
      </c>
      <c r="AI43" s="4">
        <v>0</v>
      </c>
      <c r="AJ43" s="4">
        <v>0</v>
      </c>
      <c r="AK43" s="4"/>
      <c r="AL43" s="4"/>
      <c r="AM43" s="4"/>
      <c r="AN43" s="4">
        <v>0</v>
      </c>
      <c r="AO43" s="4"/>
      <c r="AP43" s="4"/>
      <c r="AQ43" s="4"/>
      <c r="AR43" s="6">
        <v>1894</v>
      </c>
      <c r="AS43" s="4"/>
      <c r="AT43" s="4"/>
      <c r="AU43" s="4"/>
      <c r="AV43" s="4">
        <v>0</v>
      </c>
      <c r="AW43" s="4">
        <v>854</v>
      </c>
      <c r="AX43" s="4"/>
      <c r="AY43" s="4"/>
      <c r="AZ43" s="4"/>
      <c r="BA43" s="4"/>
      <c r="BB43" s="4"/>
      <c r="BC43" s="4">
        <v>0</v>
      </c>
      <c r="BD43" s="4">
        <v>0</v>
      </c>
      <c r="BE43" s="4"/>
      <c r="BF43" s="4"/>
      <c r="BG43" s="4"/>
    </row>
    <row r="44" spans="1:59" x14ac:dyDescent="0.25">
      <c r="A44" s="5" t="s">
        <v>195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6">
        <v>-1200000</v>
      </c>
      <c r="AB44" s="6">
        <v>-1500000</v>
      </c>
      <c r="AC44" s="6">
        <v>-310000</v>
      </c>
      <c r="AD44" s="4">
        <v>0</v>
      </c>
      <c r="AE44" s="4">
        <v>0</v>
      </c>
      <c r="AF44" s="6">
        <v>-1000000</v>
      </c>
      <c r="AG44" s="6">
        <v>-2200000</v>
      </c>
      <c r="AH44" s="4">
        <v>-5</v>
      </c>
      <c r="AI44" s="4">
        <v>0</v>
      </c>
      <c r="AJ44" s="4">
        <v>0</v>
      </c>
      <c r="AK44" s="6">
        <v>-157708</v>
      </c>
      <c r="AL44" s="4"/>
      <c r="AM44" s="4"/>
      <c r="AN44" s="4">
        <v>0</v>
      </c>
      <c r="AO44" s="4"/>
      <c r="AP44" s="4"/>
      <c r="AQ44" s="4"/>
      <c r="AR44" s="4"/>
      <c r="AS44" s="6">
        <v>-700000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x14ac:dyDescent="0.25">
      <c r="A45" s="5" t="s">
        <v>196</v>
      </c>
      <c r="B45" s="18">
        <v>0</v>
      </c>
      <c r="C45" s="4">
        <v>0</v>
      </c>
      <c r="D45" s="4">
        <v>0</v>
      </c>
      <c r="E45" s="4">
        <v>0</v>
      </c>
      <c r="F45" s="4">
        <v>0</v>
      </c>
      <c r="G45" s="18">
        <v>0</v>
      </c>
      <c r="H45" s="4">
        <v>0</v>
      </c>
      <c r="I45" s="4">
        <v>0</v>
      </c>
      <c r="J45" s="4">
        <v>0</v>
      </c>
      <c r="K45" s="4">
        <v>0</v>
      </c>
      <c r="L45" s="18">
        <v>0</v>
      </c>
      <c r="M45" s="4">
        <v>0</v>
      </c>
      <c r="N45" s="4">
        <v>0</v>
      </c>
      <c r="O45" s="4">
        <v>0</v>
      </c>
      <c r="P45" s="4">
        <v>0</v>
      </c>
      <c r="Q45" s="18">
        <v>0</v>
      </c>
      <c r="R45" s="4">
        <v>0</v>
      </c>
      <c r="S45" s="4">
        <v>0</v>
      </c>
      <c r="T45" s="4">
        <v>0</v>
      </c>
      <c r="U45" s="4">
        <v>0</v>
      </c>
      <c r="V45" s="18">
        <v>0</v>
      </c>
      <c r="W45" s="4">
        <v>0</v>
      </c>
      <c r="X45" s="4">
        <v>0</v>
      </c>
      <c r="Y45" s="4">
        <v>0</v>
      </c>
      <c r="Z45" s="4">
        <v>0</v>
      </c>
      <c r="AA45" s="18">
        <v>0</v>
      </c>
      <c r="AB45" s="4">
        <v>0</v>
      </c>
      <c r="AC45" s="4">
        <v>0</v>
      </c>
      <c r="AD45" s="4">
        <v>0</v>
      </c>
      <c r="AE45" s="4">
        <v>0</v>
      </c>
      <c r="AF45" s="18">
        <v>0</v>
      </c>
      <c r="AG45" s="4"/>
      <c r="AH45" s="4">
        <v>0</v>
      </c>
      <c r="AI45" s="6">
        <v>-37079</v>
      </c>
      <c r="AJ45" s="4">
        <v>0</v>
      </c>
      <c r="AK45" s="6">
        <v>-28007</v>
      </c>
      <c r="AL45" s="4"/>
      <c r="AM45" s="4"/>
      <c r="AN45" s="4">
        <v>0</v>
      </c>
      <c r="AO45" s="4"/>
      <c r="AP45" s="6">
        <v>-74648</v>
      </c>
      <c r="AQ45" s="4">
        <v>0</v>
      </c>
      <c r="AR45" s="4">
        <v>0</v>
      </c>
      <c r="AS45" s="4"/>
      <c r="AT45" s="4"/>
      <c r="AU45" s="4"/>
      <c r="AV45" s="4"/>
      <c r="AW45" s="4"/>
      <c r="AX45" s="4"/>
      <c r="AY45" s="6">
        <v>-5140017</v>
      </c>
      <c r="AZ45" s="6">
        <v>-70238</v>
      </c>
      <c r="BA45" s="4">
        <v>0</v>
      </c>
      <c r="BB45" s="4"/>
      <c r="BC45" s="4"/>
      <c r="BD45" s="4"/>
      <c r="BE45" s="6">
        <v>-7084911</v>
      </c>
      <c r="BF45" s="4"/>
      <c r="BG45" s="6">
        <v>-5051697</v>
      </c>
    </row>
    <row r="46" spans="1:59" x14ac:dyDescent="0.25">
      <c r="A46" s="5" t="s">
        <v>197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6">
        <v>-4043249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/>
      <c r="AH46" s="4">
        <v>0</v>
      </c>
      <c r="AI46" s="4">
        <v>0</v>
      </c>
      <c r="AJ46" s="4">
        <v>0</v>
      </c>
      <c r="AK46" s="4"/>
      <c r="AL46" s="4"/>
      <c r="AM46" s="4"/>
      <c r="AN46" s="4">
        <v>0</v>
      </c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x14ac:dyDescent="0.25">
      <c r="A47" s="5" t="s">
        <v>198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6">
        <v>8631761</v>
      </c>
      <c r="AA47" s="6">
        <v>7717507</v>
      </c>
      <c r="AB47" s="6">
        <v>-7761</v>
      </c>
      <c r="AC47" s="4">
        <v>-330</v>
      </c>
      <c r="AD47" s="4">
        <v>0</v>
      </c>
      <c r="AE47" s="4">
        <v>0</v>
      </c>
      <c r="AF47" s="4">
        <v>0</v>
      </c>
      <c r="AG47" s="4"/>
      <c r="AH47" s="4">
        <v>0</v>
      </c>
      <c r="AI47" s="4">
        <v>0</v>
      </c>
      <c r="AJ47" s="4">
        <v>0</v>
      </c>
      <c r="AK47" s="4"/>
      <c r="AL47" s="4"/>
      <c r="AM47" s="4"/>
      <c r="AN47" s="4">
        <v>0</v>
      </c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>
        <v>0</v>
      </c>
      <c r="BB47" s="4"/>
      <c r="BC47" s="4"/>
      <c r="BD47" s="4"/>
      <c r="BE47" s="4"/>
      <c r="BF47" s="4"/>
      <c r="BG47" s="4"/>
    </row>
    <row r="48" spans="1:59" x14ac:dyDescent="0.25">
      <c r="A48" s="5" t="s">
        <v>199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2127</v>
      </c>
      <c r="V48" s="6">
        <v>-8164</v>
      </c>
      <c r="W48" s="6">
        <v>16328</v>
      </c>
      <c r="X48" s="6">
        <v>-4043249</v>
      </c>
      <c r="Y48" s="6">
        <v>4799999</v>
      </c>
      <c r="Z48" s="6">
        <v>8631761</v>
      </c>
      <c r="AA48" s="6">
        <v>6517507</v>
      </c>
      <c r="AB48" s="6">
        <v>-1507761</v>
      </c>
      <c r="AC48" s="6">
        <v>57871</v>
      </c>
      <c r="AD48" s="6">
        <v>58201</v>
      </c>
      <c r="AE48" s="6">
        <v>12137</v>
      </c>
      <c r="AF48" s="6">
        <v>-1000000</v>
      </c>
      <c r="AG48" s="6">
        <v>-2164572</v>
      </c>
      <c r="AH48" s="4">
        <v>-5</v>
      </c>
      <c r="AI48" s="6">
        <v>-37079</v>
      </c>
      <c r="AJ48" s="4">
        <v>0</v>
      </c>
      <c r="AK48" s="6">
        <v>-137462</v>
      </c>
      <c r="AL48" s="4"/>
      <c r="AM48" s="4"/>
      <c r="AN48" s="6">
        <v>60053</v>
      </c>
      <c r="AO48" s="4"/>
      <c r="AP48" s="6">
        <v>-72754</v>
      </c>
      <c r="AQ48" s="4">
        <v>0</v>
      </c>
      <c r="AR48" s="6">
        <v>63237</v>
      </c>
      <c r="AS48" s="6">
        <v>-700059</v>
      </c>
      <c r="AT48" s="4">
        <v>854</v>
      </c>
      <c r="AU48" s="4">
        <v>0</v>
      </c>
      <c r="AV48" s="4">
        <v>0</v>
      </c>
      <c r="AW48" s="6">
        <v>52664</v>
      </c>
      <c r="AX48" s="4"/>
      <c r="AY48" s="6">
        <v>-5137764</v>
      </c>
      <c r="AZ48" s="6">
        <v>-70238</v>
      </c>
      <c r="BA48" s="6">
        <v>198242</v>
      </c>
      <c r="BB48" s="4"/>
      <c r="BC48" s="6">
        <v>1376714</v>
      </c>
      <c r="BD48" s="6">
        <v>10730125</v>
      </c>
      <c r="BE48" s="6">
        <v>-6871089</v>
      </c>
      <c r="BF48" s="6">
        <v>2755</v>
      </c>
      <c r="BG48" s="6">
        <v>-5051697</v>
      </c>
    </row>
    <row r="49" spans="1:59" x14ac:dyDescent="0.25">
      <c r="A49" s="11" t="s">
        <v>200</v>
      </c>
      <c r="B49" s="6">
        <v>-2549184</v>
      </c>
      <c r="C49" s="6">
        <v>-3658549</v>
      </c>
      <c r="D49" s="6">
        <v>-3529525</v>
      </c>
      <c r="E49" s="6">
        <v>-1939385</v>
      </c>
      <c r="F49" s="6">
        <v>-1181453</v>
      </c>
      <c r="G49" s="6">
        <v>1991961</v>
      </c>
      <c r="H49" s="6">
        <v>2178697</v>
      </c>
      <c r="I49" s="6">
        <v>-8414446</v>
      </c>
      <c r="J49" s="6">
        <v>-360594</v>
      </c>
      <c r="K49" s="6">
        <v>2271529</v>
      </c>
      <c r="L49" s="6">
        <v>5019502</v>
      </c>
      <c r="M49" s="6">
        <v>-5847230</v>
      </c>
      <c r="N49" s="6">
        <v>-8192948</v>
      </c>
      <c r="O49" s="6">
        <v>6488059</v>
      </c>
      <c r="P49" s="6">
        <v>492026</v>
      </c>
      <c r="Q49" s="6">
        <v>-5664568</v>
      </c>
      <c r="R49" s="6">
        <v>-6907668</v>
      </c>
      <c r="S49" s="6">
        <v>8087725</v>
      </c>
      <c r="T49" s="6">
        <v>-990473</v>
      </c>
      <c r="U49" s="6">
        <v>1246343</v>
      </c>
      <c r="V49" s="6">
        <v>5293442</v>
      </c>
      <c r="W49" s="6">
        <v>-1663464</v>
      </c>
      <c r="X49" s="6">
        <v>-1231938</v>
      </c>
      <c r="Y49" s="6">
        <v>6201308</v>
      </c>
      <c r="Z49" s="6">
        <v>1352026</v>
      </c>
      <c r="AA49" s="6">
        <v>26017322</v>
      </c>
      <c r="AB49" s="6">
        <v>-7445318</v>
      </c>
      <c r="AC49" s="6">
        <v>-5458988</v>
      </c>
      <c r="AD49" s="6">
        <v>6322697</v>
      </c>
      <c r="AE49" s="6">
        <v>3620274</v>
      </c>
      <c r="AF49" s="6">
        <v>-247907</v>
      </c>
      <c r="AG49" s="6">
        <v>-284740</v>
      </c>
      <c r="AH49" s="6">
        <v>3689691</v>
      </c>
      <c r="AI49" s="6">
        <v>-1367294</v>
      </c>
      <c r="AJ49" s="6">
        <v>-12361073</v>
      </c>
      <c r="AK49" s="6">
        <v>-879728</v>
      </c>
      <c r="AL49" s="6">
        <v>-7096974</v>
      </c>
      <c r="AM49" s="6">
        <v>10922844</v>
      </c>
      <c r="AN49" s="6">
        <v>17854899</v>
      </c>
      <c r="AO49" s="6">
        <v>-9603542</v>
      </c>
      <c r="AP49" s="6">
        <v>24223937</v>
      </c>
      <c r="AQ49" s="6">
        <v>-4081658</v>
      </c>
      <c r="AR49" s="6">
        <v>15808227</v>
      </c>
      <c r="AS49" s="6">
        <v>17751144</v>
      </c>
      <c r="AT49" s="6">
        <v>-21613742</v>
      </c>
      <c r="AU49" s="6">
        <v>-5522237</v>
      </c>
      <c r="AV49" s="6">
        <v>22035891</v>
      </c>
      <c r="AW49" s="6">
        <v>14294427</v>
      </c>
      <c r="AX49" s="6">
        <v>13699760</v>
      </c>
      <c r="AY49" s="6">
        <v>705129</v>
      </c>
      <c r="AZ49" s="6">
        <v>-1805792</v>
      </c>
      <c r="BA49" s="6">
        <v>24385099</v>
      </c>
      <c r="BB49" s="6">
        <v>-11050434</v>
      </c>
      <c r="BC49" s="6">
        <v>-6645592</v>
      </c>
      <c r="BD49" s="6">
        <v>30135291</v>
      </c>
      <c r="BE49" s="6">
        <v>31338378</v>
      </c>
      <c r="BF49" s="6">
        <v>-12117985</v>
      </c>
      <c r="BG49" s="6">
        <v>-9461934</v>
      </c>
    </row>
    <row r="50" spans="1:59" x14ac:dyDescent="0.25">
      <c r="A50" s="11" t="s">
        <v>201</v>
      </c>
      <c r="B50" s="6">
        <v>34298612</v>
      </c>
      <c r="C50" s="6">
        <v>31749428</v>
      </c>
      <c r="D50" s="6">
        <v>28090879</v>
      </c>
      <c r="E50" s="6">
        <v>24561354</v>
      </c>
      <c r="F50" s="6">
        <v>22621969</v>
      </c>
      <c r="G50" s="6">
        <v>21440516</v>
      </c>
      <c r="H50" s="6">
        <v>23432477</v>
      </c>
      <c r="I50" s="6">
        <v>25611174</v>
      </c>
      <c r="J50" s="6">
        <v>17196728</v>
      </c>
      <c r="K50" s="6">
        <v>16836134</v>
      </c>
      <c r="L50" s="6">
        <v>19107663</v>
      </c>
      <c r="M50" s="6">
        <v>24127165</v>
      </c>
      <c r="N50" s="6">
        <v>18067475</v>
      </c>
      <c r="O50" s="6">
        <v>9882787</v>
      </c>
      <c r="P50" s="6">
        <v>16352840</v>
      </c>
      <c r="Q50" s="6">
        <v>16847696</v>
      </c>
      <c r="R50" s="6">
        <v>19607170</v>
      </c>
      <c r="S50" s="6">
        <v>12722776</v>
      </c>
      <c r="T50" s="6">
        <v>13947532</v>
      </c>
      <c r="U50" s="6">
        <v>12941836</v>
      </c>
      <c r="V50" s="6">
        <v>12816151</v>
      </c>
      <c r="W50" s="6">
        <v>18116347</v>
      </c>
      <c r="X50" s="6">
        <v>17803518</v>
      </c>
      <c r="Y50" s="6">
        <v>16590726</v>
      </c>
      <c r="Z50" s="6">
        <v>22681199</v>
      </c>
      <c r="AA50" s="6">
        <v>24037489</v>
      </c>
      <c r="AB50" s="6">
        <v>50050197</v>
      </c>
      <c r="AC50" s="6">
        <v>42604730</v>
      </c>
      <c r="AD50" s="6">
        <v>37198979</v>
      </c>
      <c r="AE50" s="6">
        <v>43521850</v>
      </c>
      <c r="AF50" s="6">
        <v>47141880</v>
      </c>
      <c r="AG50" s="6">
        <v>46894017</v>
      </c>
      <c r="AH50" s="6">
        <v>46514302</v>
      </c>
      <c r="AI50" s="6">
        <v>50216352</v>
      </c>
      <c r="AJ50" s="6">
        <v>48835595</v>
      </c>
      <c r="AK50" s="6">
        <v>36473877</v>
      </c>
      <c r="AL50" s="6">
        <v>35595899</v>
      </c>
      <c r="AM50" s="6">
        <v>28500728</v>
      </c>
      <c r="AN50" s="6">
        <v>39425237</v>
      </c>
      <c r="AO50" s="6">
        <v>57276683</v>
      </c>
      <c r="AP50" s="6">
        <v>47604230</v>
      </c>
      <c r="AQ50" s="6">
        <v>71831132</v>
      </c>
      <c r="AR50" s="6">
        <v>67760496</v>
      </c>
      <c r="AS50" s="6">
        <v>83562091</v>
      </c>
      <c r="AT50" s="6">
        <v>101305880</v>
      </c>
      <c r="AU50" s="6">
        <v>79696786</v>
      </c>
      <c r="AV50" s="6">
        <v>74171203</v>
      </c>
      <c r="AW50" s="6">
        <v>96203611</v>
      </c>
      <c r="AX50" s="6">
        <v>110500219</v>
      </c>
      <c r="AY50" s="6">
        <v>124179846</v>
      </c>
      <c r="AZ50" s="6">
        <v>124891909</v>
      </c>
      <c r="BA50" s="6">
        <v>123109810</v>
      </c>
      <c r="BB50" s="6">
        <v>147484415</v>
      </c>
      <c r="BC50" s="6">
        <v>136433981</v>
      </c>
      <c r="BD50" s="6">
        <v>129788389</v>
      </c>
      <c r="BE50" s="6">
        <v>159923680</v>
      </c>
      <c r="BF50" s="6">
        <v>191827343</v>
      </c>
      <c r="BG50" s="6">
        <v>179709358</v>
      </c>
    </row>
    <row r="51" spans="1:59" x14ac:dyDescent="0.25">
      <c r="A51" s="11" t="s">
        <v>202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6">
        <v>8260</v>
      </c>
      <c r="O51" s="6">
        <v>-18006</v>
      </c>
      <c r="P51" s="6">
        <v>2830</v>
      </c>
      <c r="Q51" s="6">
        <v>6916</v>
      </c>
      <c r="R51" s="6">
        <v>23274</v>
      </c>
      <c r="S51" s="6">
        <v>-12969</v>
      </c>
      <c r="T51" s="6">
        <v>-15223</v>
      </c>
      <c r="U51" s="6">
        <v>4918</v>
      </c>
      <c r="V51" s="6">
        <v>6754</v>
      </c>
      <c r="W51" s="6">
        <v>-26311</v>
      </c>
      <c r="X51" s="6">
        <v>19146</v>
      </c>
      <c r="Y51" s="4">
        <v>411</v>
      </c>
      <c r="Z51" s="6">
        <v>4264</v>
      </c>
      <c r="AA51" s="6">
        <v>-4614</v>
      </c>
      <c r="AB51" s="4">
        <v>-149</v>
      </c>
      <c r="AC51" s="4">
        <v>499</v>
      </c>
      <c r="AD51" s="4">
        <v>174</v>
      </c>
      <c r="AE51" s="4">
        <v>-244</v>
      </c>
      <c r="AF51" s="4">
        <v>44</v>
      </c>
      <c r="AG51" s="4">
        <v>26</v>
      </c>
      <c r="AH51" s="6">
        <v>12359</v>
      </c>
      <c r="AI51" s="6">
        <v>-13463</v>
      </c>
      <c r="AJ51" s="4">
        <v>-645</v>
      </c>
      <c r="AK51" s="6">
        <v>1749</v>
      </c>
      <c r="AL51" s="6">
        <v>1803</v>
      </c>
      <c r="AM51" s="6">
        <v>1665</v>
      </c>
      <c r="AN51" s="6">
        <v>-3453</v>
      </c>
      <c r="AO51" s="4">
        <v>-15</v>
      </c>
      <c r="AP51" s="6">
        <v>2965</v>
      </c>
      <c r="AQ51" s="6">
        <v>11022</v>
      </c>
      <c r="AR51" s="6">
        <v>-6632</v>
      </c>
      <c r="AS51" s="6">
        <v>-7355</v>
      </c>
      <c r="AT51" s="6">
        <v>4648</v>
      </c>
      <c r="AU51" s="6">
        <v>-3346</v>
      </c>
      <c r="AV51" s="6">
        <v>-3483</v>
      </c>
      <c r="AW51" s="6">
        <v>2181</v>
      </c>
      <c r="AX51" s="6">
        <v>-20133</v>
      </c>
      <c r="AY51" s="6">
        <v>6934</v>
      </c>
      <c r="AZ51" s="6">
        <v>23693</v>
      </c>
      <c r="BA51" s="6">
        <v>-10494</v>
      </c>
      <c r="BB51" s="4"/>
      <c r="BC51" s="4"/>
      <c r="BD51" s="4"/>
      <c r="BE51" s="4"/>
      <c r="BF51" s="4"/>
      <c r="BG51" s="4"/>
    </row>
    <row r="52" spans="1:59" x14ac:dyDescent="0.25">
      <c r="A52" s="11" t="s">
        <v>203</v>
      </c>
      <c r="B52" s="6">
        <v>31749428</v>
      </c>
      <c r="C52" s="6">
        <v>28090879</v>
      </c>
      <c r="D52" s="6">
        <v>24561354</v>
      </c>
      <c r="E52" s="6">
        <v>22621969</v>
      </c>
      <c r="F52" s="6">
        <v>21440516</v>
      </c>
      <c r="G52" s="6">
        <v>23432477</v>
      </c>
      <c r="H52" s="6">
        <v>25611174</v>
      </c>
      <c r="I52" s="6">
        <v>17196728</v>
      </c>
      <c r="J52" s="6">
        <v>16836134</v>
      </c>
      <c r="K52" s="6">
        <v>19107663</v>
      </c>
      <c r="L52" s="6">
        <v>24127165</v>
      </c>
      <c r="M52" s="6">
        <v>18279935</v>
      </c>
      <c r="N52" s="6">
        <v>9882787</v>
      </c>
      <c r="O52" s="6">
        <v>16352840</v>
      </c>
      <c r="P52" s="6">
        <v>16847696</v>
      </c>
      <c r="Q52" s="6">
        <v>11190044</v>
      </c>
      <c r="R52" s="6">
        <v>12722776</v>
      </c>
      <c r="S52" s="6">
        <v>13947532</v>
      </c>
      <c r="T52" s="6">
        <v>12941836</v>
      </c>
      <c r="U52" s="6">
        <v>14193097</v>
      </c>
      <c r="V52" s="6">
        <v>18116347</v>
      </c>
      <c r="W52" s="6">
        <v>17803518</v>
      </c>
      <c r="X52" s="6">
        <v>16590726</v>
      </c>
      <c r="Y52" s="6">
        <v>22681199</v>
      </c>
      <c r="Z52" s="6">
        <v>24037489</v>
      </c>
      <c r="AA52" s="6">
        <v>50050197</v>
      </c>
      <c r="AB52" s="6">
        <v>42604730</v>
      </c>
      <c r="AC52" s="6">
        <v>37198979</v>
      </c>
      <c r="AD52" s="6">
        <v>43521850</v>
      </c>
      <c r="AE52" s="6">
        <v>47141880</v>
      </c>
      <c r="AF52" s="6">
        <v>46894017</v>
      </c>
      <c r="AG52" s="6">
        <v>46514283</v>
      </c>
      <c r="AH52" s="6">
        <v>50216352</v>
      </c>
      <c r="AI52" s="6">
        <v>48835595</v>
      </c>
      <c r="AJ52" s="6">
        <v>36473877</v>
      </c>
      <c r="AK52" s="6">
        <v>35595899</v>
      </c>
      <c r="AL52" s="6">
        <v>28500728</v>
      </c>
      <c r="AM52" s="6">
        <v>39425237</v>
      </c>
      <c r="AN52" s="6">
        <v>57276683</v>
      </c>
      <c r="AO52" s="6">
        <v>47604230</v>
      </c>
      <c r="AP52" s="6">
        <v>71831132</v>
      </c>
      <c r="AQ52" s="6">
        <v>67760496</v>
      </c>
      <c r="AR52" s="6">
        <v>83562091</v>
      </c>
      <c r="AS52" s="6">
        <v>101305880</v>
      </c>
      <c r="AT52" s="6">
        <v>79696786</v>
      </c>
      <c r="AU52" s="6">
        <v>74171203</v>
      </c>
      <c r="AV52" s="6">
        <v>96203611</v>
      </c>
      <c r="AW52" s="6">
        <v>110500219</v>
      </c>
      <c r="AX52" s="6">
        <v>124179846</v>
      </c>
      <c r="AY52" s="6">
        <v>124891909</v>
      </c>
      <c r="AZ52" s="6">
        <v>123109810</v>
      </c>
      <c r="BA52" s="6">
        <v>147484415</v>
      </c>
      <c r="BB52" s="6">
        <v>136433981</v>
      </c>
      <c r="BC52" s="6">
        <v>129788389</v>
      </c>
      <c r="BD52" s="6">
        <v>159923680</v>
      </c>
      <c r="BE52" s="6">
        <v>191827343</v>
      </c>
      <c r="BF52" s="6">
        <v>179709358</v>
      </c>
      <c r="BG52" s="6">
        <v>170247424</v>
      </c>
    </row>
    <row r="53" spans="1:59" x14ac:dyDescent="0.25">
      <c r="A53" s="13" t="s">
        <v>204</v>
      </c>
      <c r="S53" s="2">
        <v>-6850000</v>
      </c>
      <c r="W53" s="2">
        <v>1376946</v>
      </c>
      <c r="Y53" s="2">
        <v>-111246</v>
      </c>
      <c r="AC53" s="2">
        <v>52738</v>
      </c>
      <c r="AG53" s="2">
        <v>-95020</v>
      </c>
      <c r="AK53" s="2">
        <v>1</v>
      </c>
      <c r="AO53" s="2">
        <v>-68896</v>
      </c>
      <c r="BE53" s="2">
        <v>565285</v>
      </c>
    </row>
    <row r="55" spans="1:59" x14ac:dyDescent="0.25">
      <c r="B55" s="17">
        <f>B52-B49-B50-B51</f>
        <v>0</v>
      </c>
      <c r="C55" s="17">
        <f t="shared" ref="C55:Q55" si="0">C52-C49-C50-C51</f>
        <v>0</v>
      </c>
      <c r="D55" s="17">
        <f t="shared" si="0"/>
        <v>0</v>
      </c>
      <c r="E55" s="17">
        <f t="shared" si="0"/>
        <v>0</v>
      </c>
      <c r="F55" s="17">
        <f t="shared" si="0"/>
        <v>0</v>
      </c>
      <c r="G55" s="17">
        <f t="shared" si="0"/>
        <v>0</v>
      </c>
      <c r="H55" s="17">
        <f t="shared" si="0"/>
        <v>0</v>
      </c>
      <c r="I55" s="17">
        <f t="shared" si="0"/>
        <v>0</v>
      </c>
      <c r="J55" s="17">
        <f t="shared" si="0"/>
        <v>0</v>
      </c>
      <c r="K55" s="17">
        <f t="shared" si="0"/>
        <v>0</v>
      </c>
      <c r="L55" s="17">
        <f t="shared" si="0"/>
        <v>0</v>
      </c>
      <c r="M55" s="17">
        <f t="shared" si="0"/>
        <v>0</v>
      </c>
      <c r="N55" s="17">
        <f t="shared" si="0"/>
        <v>0</v>
      </c>
      <c r="O55" s="17">
        <f t="shared" si="0"/>
        <v>0</v>
      </c>
      <c r="P55" s="17">
        <f t="shared" si="0"/>
        <v>0</v>
      </c>
      <c r="Q55" s="17">
        <f t="shared" si="0"/>
        <v>0</v>
      </c>
      <c r="R55" s="17">
        <f>R52-R51-R50-R49-R53</f>
        <v>0</v>
      </c>
      <c r="S55" s="17">
        <f>S52-S51-S50-S49-S53</f>
        <v>0</v>
      </c>
      <c r="T55" s="17">
        <f>T52-T51-T50-T49-T53</f>
        <v>0</v>
      </c>
      <c r="U55" s="17">
        <f t="shared" ref="U55:BG55" si="1">U52-U51-U50-U49-U53</f>
        <v>0</v>
      </c>
      <c r="V55" s="17">
        <f t="shared" si="1"/>
        <v>0</v>
      </c>
      <c r="W55" s="17">
        <f t="shared" si="1"/>
        <v>0</v>
      </c>
      <c r="X55" s="17">
        <f t="shared" si="1"/>
        <v>0</v>
      </c>
      <c r="Y55" s="17">
        <f>Y52-Y51-Y50-Y49-Y53</f>
        <v>0</v>
      </c>
      <c r="Z55" s="17">
        <f t="shared" si="1"/>
        <v>0</v>
      </c>
      <c r="AA55" s="17">
        <f t="shared" si="1"/>
        <v>0</v>
      </c>
      <c r="AB55" s="17">
        <f t="shared" si="1"/>
        <v>0</v>
      </c>
      <c r="AC55" s="17">
        <f t="shared" si="1"/>
        <v>0</v>
      </c>
      <c r="AD55" s="17">
        <f t="shared" si="1"/>
        <v>0</v>
      </c>
      <c r="AE55" s="17">
        <f t="shared" si="1"/>
        <v>0</v>
      </c>
      <c r="AF55" s="17">
        <f t="shared" si="1"/>
        <v>0</v>
      </c>
      <c r="AG55" s="17">
        <f t="shared" si="1"/>
        <v>0</v>
      </c>
      <c r="AH55" s="17">
        <f t="shared" si="1"/>
        <v>0</v>
      </c>
      <c r="AI55" s="17">
        <f t="shared" si="1"/>
        <v>0</v>
      </c>
      <c r="AJ55" s="17">
        <f t="shared" si="1"/>
        <v>0</v>
      </c>
      <c r="AK55" s="17">
        <f>AK52-AK51-AK50-AK49-AK53</f>
        <v>0</v>
      </c>
      <c r="AL55" s="17">
        <f t="shared" si="1"/>
        <v>0</v>
      </c>
      <c r="AM55" s="17">
        <f t="shared" si="1"/>
        <v>0</v>
      </c>
      <c r="AN55" s="17">
        <f t="shared" si="1"/>
        <v>0</v>
      </c>
      <c r="AO55" s="17">
        <f t="shared" si="1"/>
        <v>0</v>
      </c>
      <c r="AP55" s="17">
        <f t="shared" si="1"/>
        <v>0</v>
      </c>
      <c r="AQ55" s="17">
        <f t="shared" si="1"/>
        <v>0</v>
      </c>
      <c r="AR55" s="17">
        <f t="shared" si="1"/>
        <v>0</v>
      </c>
      <c r="AS55" s="17">
        <f t="shared" si="1"/>
        <v>0</v>
      </c>
      <c r="AT55" s="17">
        <f t="shared" si="1"/>
        <v>0</v>
      </c>
      <c r="AU55" s="17">
        <f t="shared" si="1"/>
        <v>0</v>
      </c>
      <c r="AV55" s="17">
        <f t="shared" si="1"/>
        <v>0</v>
      </c>
      <c r="AW55" s="17">
        <f t="shared" si="1"/>
        <v>0</v>
      </c>
      <c r="AX55" s="17">
        <f t="shared" si="1"/>
        <v>0</v>
      </c>
      <c r="AY55" s="17">
        <f t="shared" si="1"/>
        <v>0</v>
      </c>
      <c r="AZ55" s="17">
        <f t="shared" si="1"/>
        <v>0</v>
      </c>
      <c r="BA55" s="17">
        <f t="shared" si="1"/>
        <v>0</v>
      </c>
      <c r="BB55" s="17">
        <f t="shared" si="1"/>
        <v>0</v>
      </c>
      <c r="BC55" s="17">
        <f t="shared" si="1"/>
        <v>0</v>
      </c>
      <c r="BD55" s="17">
        <f t="shared" si="1"/>
        <v>0</v>
      </c>
      <c r="BE55" s="17">
        <f t="shared" si="1"/>
        <v>0</v>
      </c>
      <c r="BF55" s="17">
        <f t="shared" si="1"/>
        <v>0</v>
      </c>
      <c r="BG55" s="17">
        <f t="shared" si="1"/>
        <v>0</v>
      </c>
    </row>
    <row r="56" spans="1:59" x14ac:dyDescent="0.25">
      <c r="B56" s="17">
        <f>B52-C50</f>
        <v>0</v>
      </c>
      <c r="C56" s="17">
        <f t="shared" ref="C56:BG56" si="2">C52-D50</f>
        <v>0</v>
      </c>
      <c r="D56" s="17">
        <f t="shared" si="2"/>
        <v>0</v>
      </c>
      <c r="E56" s="17">
        <f t="shared" si="2"/>
        <v>0</v>
      </c>
      <c r="F56" s="17">
        <f t="shared" si="2"/>
        <v>0</v>
      </c>
      <c r="G56" s="17">
        <f t="shared" si="2"/>
        <v>0</v>
      </c>
      <c r="H56" s="17">
        <f t="shared" si="2"/>
        <v>0</v>
      </c>
      <c r="I56" s="17">
        <f t="shared" si="2"/>
        <v>0</v>
      </c>
      <c r="J56" s="17">
        <f t="shared" si="2"/>
        <v>0</v>
      </c>
      <c r="K56" s="17">
        <f t="shared" si="2"/>
        <v>0</v>
      </c>
      <c r="L56" s="17">
        <f t="shared" si="2"/>
        <v>0</v>
      </c>
      <c r="M56" s="17">
        <f t="shared" si="2"/>
        <v>212460</v>
      </c>
      <c r="N56" s="17">
        <f t="shared" si="2"/>
        <v>0</v>
      </c>
      <c r="O56" s="17">
        <f t="shared" si="2"/>
        <v>0</v>
      </c>
      <c r="P56" s="17">
        <f t="shared" si="2"/>
        <v>0</v>
      </c>
      <c r="Q56" s="17">
        <f t="shared" si="2"/>
        <v>-8417126</v>
      </c>
      <c r="R56" s="17">
        <f t="shared" si="2"/>
        <v>0</v>
      </c>
      <c r="S56" s="17">
        <f>S52-T50</f>
        <v>0</v>
      </c>
      <c r="T56" s="17">
        <f>T52-U50</f>
        <v>0</v>
      </c>
      <c r="U56" s="17">
        <f>U52-V50</f>
        <v>1376946</v>
      </c>
      <c r="V56" s="17">
        <f t="shared" si="2"/>
        <v>0</v>
      </c>
      <c r="W56" s="17">
        <f>W52-X50</f>
        <v>0</v>
      </c>
      <c r="X56" s="17">
        <f t="shared" si="2"/>
        <v>0</v>
      </c>
      <c r="Y56" s="17">
        <f>Y52-Z50</f>
        <v>0</v>
      </c>
      <c r="Z56" s="17">
        <f t="shared" si="2"/>
        <v>0</v>
      </c>
      <c r="AA56" s="17">
        <f t="shared" si="2"/>
        <v>0</v>
      </c>
      <c r="AB56" s="17">
        <f t="shared" si="2"/>
        <v>0</v>
      </c>
      <c r="AC56" s="17">
        <f>AC52-AD50</f>
        <v>0</v>
      </c>
      <c r="AD56" s="17">
        <f t="shared" si="2"/>
        <v>0</v>
      </c>
      <c r="AE56" s="17">
        <f t="shared" si="2"/>
        <v>0</v>
      </c>
      <c r="AF56" s="17">
        <f t="shared" si="2"/>
        <v>0</v>
      </c>
      <c r="AG56" s="17">
        <f t="shared" si="2"/>
        <v>-19</v>
      </c>
      <c r="AH56" s="17">
        <f t="shared" si="2"/>
        <v>0</v>
      </c>
      <c r="AI56" s="17">
        <f t="shared" si="2"/>
        <v>0</v>
      </c>
      <c r="AJ56" s="17">
        <f t="shared" si="2"/>
        <v>0</v>
      </c>
      <c r="AK56" s="17">
        <f t="shared" si="2"/>
        <v>0</v>
      </c>
      <c r="AL56" s="17">
        <f t="shared" si="2"/>
        <v>0</v>
      </c>
      <c r="AM56" s="17">
        <f t="shared" si="2"/>
        <v>0</v>
      </c>
      <c r="AN56" s="17">
        <f t="shared" si="2"/>
        <v>0</v>
      </c>
      <c r="AO56" s="17">
        <f t="shared" si="2"/>
        <v>0</v>
      </c>
      <c r="AP56" s="17">
        <f t="shared" si="2"/>
        <v>0</v>
      </c>
      <c r="AQ56" s="17">
        <f t="shared" si="2"/>
        <v>0</v>
      </c>
      <c r="AR56" s="17">
        <f t="shared" si="2"/>
        <v>0</v>
      </c>
      <c r="AS56" s="17">
        <f t="shared" si="2"/>
        <v>0</v>
      </c>
      <c r="AT56" s="17">
        <f t="shared" si="2"/>
        <v>0</v>
      </c>
      <c r="AU56" s="17">
        <f t="shared" si="2"/>
        <v>0</v>
      </c>
      <c r="AV56" s="17">
        <f t="shared" si="2"/>
        <v>0</v>
      </c>
      <c r="AW56" s="17">
        <f t="shared" si="2"/>
        <v>0</v>
      </c>
      <c r="AX56" s="17">
        <f t="shared" si="2"/>
        <v>0</v>
      </c>
      <c r="AY56" s="17">
        <f t="shared" si="2"/>
        <v>0</v>
      </c>
      <c r="AZ56" s="17">
        <f t="shared" si="2"/>
        <v>0</v>
      </c>
      <c r="BA56" s="17">
        <f t="shared" si="2"/>
        <v>0</v>
      </c>
      <c r="BB56" s="17">
        <f t="shared" si="2"/>
        <v>0</v>
      </c>
      <c r="BC56" s="17">
        <f t="shared" si="2"/>
        <v>0</v>
      </c>
      <c r="BD56" s="17">
        <f t="shared" si="2"/>
        <v>0</v>
      </c>
      <c r="BE56" s="17">
        <f t="shared" si="2"/>
        <v>0</v>
      </c>
      <c r="BF56" s="17">
        <f t="shared" si="2"/>
        <v>0</v>
      </c>
      <c r="BG56" s="17">
        <f t="shared" si="2"/>
        <v>170247424</v>
      </c>
    </row>
    <row r="57" spans="1:59" x14ac:dyDescent="0.25">
      <c r="B57" s="17">
        <f>SUM(B3:B10)-B11</f>
        <v>-1</v>
      </c>
      <c r="C57" s="17">
        <f t="shared" ref="C57:BG57" si="3">SUM(C3:C10)-C11</f>
        <v>0</v>
      </c>
      <c r="D57" s="17">
        <f t="shared" si="3"/>
        <v>0</v>
      </c>
      <c r="E57" s="17">
        <f t="shared" si="3"/>
        <v>0</v>
      </c>
      <c r="F57" s="17">
        <f t="shared" si="3"/>
        <v>0</v>
      </c>
      <c r="G57" s="17">
        <f t="shared" si="3"/>
        <v>0</v>
      </c>
      <c r="H57" s="17">
        <f t="shared" si="3"/>
        <v>0</v>
      </c>
      <c r="I57" s="17">
        <f t="shared" si="3"/>
        <v>0</v>
      </c>
      <c r="J57" s="17">
        <f t="shared" si="3"/>
        <v>0</v>
      </c>
      <c r="K57" s="17">
        <f t="shared" si="3"/>
        <v>0</v>
      </c>
      <c r="L57" s="17">
        <f t="shared" si="3"/>
        <v>0</v>
      </c>
      <c r="M57" s="17">
        <f t="shared" si="3"/>
        <v>0</v>
      </c>
      <c r="N57" s="17">
        <f t="shared" si="3"/>
        <v>0</v>
      </c>
      <c r="O57" s="17">
        <f t="shared" si="3"/>
        <v>0</v>
      </c>
      <c r="P57" s="17">
        <f t="shared" si="3"/>
        <v>0</v>
      </c>
      <c r="Q57" s="17">
        <f t="shared" si="3"/>
        <v>0</v>
      </c>
      <c r="R57" s="17">
        <f t="shared" si="3"/>
        <v>0</v>
      </c>
      <c r="S57" s="17">
        <f t="shared" si="3"/>
        <v>0</v>
      </c>
      <c r="T57" s="17">
        <f t="shared" si="3"/>
        <v>0</v>
      </c>
      <c r="U57" s="17">
        <f>SUM(U3:U10)-U11</f>
        <v>0</v>
      </c>
      <c r="V57" s="17">
        <f>SUM(V3:V10)-V11</f>
        <v>0</v>
      </c>
      <c r="W57" s="17">
        <f t="shared" si="3"/>
        <v>0</v>
      </c>
      <c r="X57" s="17">
        <f t="shared" si="3"/>
        <v>0</v>
      </c>
      <c r="Y57" s="17">
        <f t="shared" si="3"/>
        <v>0</v>
      </c>
      <c r="Z57" s="17">
        <f t="shared" si="3"/>
        <v>0</v>
      </c>
      <c r="AA57" s="17">
        <f t="shared" si="3"/>
        <v>0</v>
      </c>
      <c r="AB57" s="17">
        <f t="shared" si="3"/>
        <v>0</v>
      </c>
      <c r="AC57" s="17">
        <f t="shared" si="3"/>
        <v>0</v>
      </c>
      <c r="AD57" s="17">
        <f t="shared" si="3"/>
        <v>0</v>
      </c>
      <c r="AE57" s="17">
        <f t="shared" si="3"/>
        <v>0</v>
      </c>
      <c r="AF57" s="17">
        <f t="shared" si="3"/>
        <v>0</v>
      </c>
      <c r="AG57" s="17">
        <f t="shared" si="3"/>
        <v>0</v>
      </c>
      <c r="AH57" s="17">
        <f t="shared" si="3"/>
        <v>0</v>
      </c>
      <c r="AI57" s="17">
        <f t="shared" si="3"/>
        <v>0</v>
      </c>
      <c r="AJ57" s="17">
        <f t="shared" si="3"/>
        <v>0</v>
      </c>
      <c r="AK57" s="17">
        <f t="shared" si="3"/>
        <v>0</v>
      </c>
      <c r="AL57" s="17">
        <f t="shared" si="3"/>
        <v>0</v>
      </c>
      <c r="AM57" s="17">
        <f t="shared" si="3"/>
        <v>0</v>
      </c>
      <c r="AN57" s="17">
        <f t="shared" si="3"/>
        <v>0</v>
      </c>
      <c r="AO57" s="17">
        <f t="shared" si="3"/>
        <v>0</v>
      </c>
      <c r="AP57" s="17">
        <f t="shared" si="3"/>
        <v>0</v>
      </c>
      <c r="AQ57" s="17">
        <f t="shared" si="3"/>
        <v>0</v>
      </c>
      <c r="AR57" s="17">
        <f t="shared" si="3"/>
        <v>0</v>
      </c>
      <c r="AS57" s="17">
        <f t="shared" si="3"/>
        <v>0</v>
      </c>
      <c r="AT57" s="17">
        <f t="shared" si="3"/>
        <v>0</v>
      </c>
      <c r="AU57" s="17">
        <f t="shared" si="3"/>
        <v>0</v>
      </c>
      <c r="AV57" s="17">
        <f t="shared" si="3"/>
        <v>0</v>
      </c>
      <c r="AW57" s="17">
        <f t="shared" si="3"/>
        <v>0</v>
      </c>
      <c r="AX57" s="17">
        <f t="shared" si="3"/>
        <v>0</v>
      </c>
      <c r="AY57" s="17">
        <f t="shared" si="3"/>
        <v>0</v>
      </c>
      <c r="AZ57" s="17">
        <f t="shared" si="3"/>
        <v>0</v>
      </c>
      <c r="BA57" s="17">
        <f t="shared" si="3"/>
        <v>0</v>
      </c>
      <c r="BB57" s="17">
        <f t="shared" si="3"/>
        <v>0</v>
      </c>
      <c r="BC57" s="17">
        <f t="shared" si="3"/>
        <v>0</v>
      </c>
      <c r="BD57" s="17">
        <f t="shared" si="3"/>
        <v>0</v>
      </c>
      <c r="BE57" s="17">
        <f t="shared" si="3"/>
        <v>0</v>
      </c>
      <c r="BF57" s="17">
        <f t="shared" si="3"/>
        <v>0</v>
      </c>
      <c r="BG57" s="17">
        <f t="shared" si="3"/>
        <v>0</v>
      </c>
    </row>
    <row r="58" spans="1:59" x14ac:dyDescent="0.25">
      <c r="B58" s="17">
        <f>SUM(B13:B18,B20:B27,B11)-B28</f>
        <v>1</v>
      </c>
      <c r="C58" s="17">
        <f t="shared" ref="C58:BG58" si="4">SUM(C13:C18,C20:C27,C11)-C28</f>
        <v>0</v>
      </c>
      <c r="D58" s="17">
        <f t="shared" si="4"/>
        <v>9328013</v>
      </c>
      <c r="E58" s="17">
        <f t="shared" si="4"/>
        <v>-9328013</v>
      </c>
      <c r="F58" s="17">
        <f t="shared" si="4"/>
        <v>0</v>
      </c>
      <c r="G58" s="17">
        <f t="shared" si="4"/>
        <v>0</v>
      </c>
      <c r="H58" s="17">
        <f t="shared" si="4"/>
        <v>0</v>
      </c>
      <c r="I58" s="17">
        <f t="shared" si="4"/>
        <v>0</v>
      </c>
      <c r="J58" s="17">
        <f t="shared" si="4"/>
        <v>0</v>
      </c>
      <c r="K58" s="17">
        <f t="shared" si="4"/>
        <v>0</v>
      </c>
      <c r="L58" s="17">
        <f t="shared" si="4"/>
        <v>0</v>
      </c>
      <c r="M58" s="17">
        <f t="shared" si="4"/>
        <v>0</v>
      </c>
      <c r="N58" s="17">
        <f t="shared" si="4"/>
        <v>0</v>
      </c>
      <c r="O58" s="17">
        <f t="shared" si="4"/>
        <v>0</v>
      </c>
      <c r="P58" s="17">
        <f t="shared" si="4"/>
        <v>0</v>
      </c>
      <c r="Q58" s="17">
        <f t="shared" si="4"/>
        <v>0</v>
      </c>
      <c r="R58" s="17">
        <f t="shared" si="4"/>
        <v>0</v>
      </c>
      <c r="S58" s="17">
        <f t="shared" si="4"/>
        <v>0</v>
      </c>
      <c r="T58" s="17">
        <f t="shared" si="4"/>
        <v>0</v>
      </c>
      <c r="U58" s="17">
        <f t="shared" si="4"/>
        <v>0</v>
      </c>
      <c r="V58" s="17">
        <f t="shared" si="4"/>
        <v>0</v>
      </c>
      <c r="W58" s="17">
        <f t="shared" si="4"/>
        <v>0</v>
      </c>
      <c r="X58" s="17">
        <f t="shared" si="4"/>
        <v>0</v>
      </c>
      <c r="Y58" s="17">
        <f t="shared" si="4"/>
        <v>0</v>
      </c>
      <c r="Z58" s="17">
        <f t="shared" si="4"/>
        <v>0</v>
      </c>
      <c r="AA58" s="17">
        <f t="shared" si="4"/>
        <v>0</v>
      </c>
      <c r="AB58" s="17">
        <f t="shared" si="4"/>
        <v>0</v>
      </c>
      <c r="AC58" s="17">
        <f t="shared" si="4"/>
        <v>0</v>
      </c>
      <c r="AD58" s="17">
        <f t="shared" si="4"/>
        <v>0</v>
      </c>
      <c r="AE58" s="17">
        <f t="shared" si="4"/>
        <v>0</v>
      </c>
      <c r="AF58" s="17">
        <f t="shared" si="4"/>
        <v>0</v>
      </c>
      <c r="AG58" s="17">
        <f t="shared" si="4"/>
        <v>0</v>
      </c>
      <c r="AH58" s="17">
        <f t="shared" si="4"/>
        <v>0</v>
      </c>
      <c r="AI58" s="17">
        <f t="shared" si="4"/>
        <v>0</v>
      </c>
      <c r="AJ58" s="17">
        <f t="shared" si="4"/>
        <v>0</v>
      </c>
      <c r="AK58" s="17">
        <f t="shared" si="4"/>
        <v>0</v>
      </c>
      <c r="AL58" s="17">
        <f t="shared" si="4"/>
        <v>0</v>
      </c>
      <c r="AM58" s="17">
        <f t="shared" si="4"/>
        <v>0</v>
      </c>
      <c r="AN58" s="17">
        <f t="shared" si="4"/>
        <v>0</v>
      </c>
      <c r="AO58" s="17">
        <f t="shared" si="4"/>
        <v>0</v>
      </c>
      <c r="AP58" s="17">
        <f t="shared" si="4"/>
        <v>0</v>
      </c>
      <c r="AQ58" s="17">
        <f t="shared" si="4"/>
        <v>0</v>
      </c>
      <c r="AR58" s="17">
        <f t="shared" si="4"/>
        <v>0</v>
      </c>
      <c r="AS58" s="17">
        <f t="shared" si="4"/>
        <v>0</v>
      </c>
      <c r="AT58" s="17">
        <f t="shared" si="4"/>
        <v>0</v>
      </c>
      <c r="AU58" s="17">
        <f t="shared" si="4"/>
        <v>0</v>
      </c>
      <c r="AV58" s="17">
        <f t="shared" si="4"/>
        <v>0</v>
      </c>
      <c r="AW58" s="17">
        <f t="shared" si="4"/>
        <v>0</v>
      </c>
      <c r="AX58" s="17">
        <f t="shared" si="4"/>
        <v>0</v>
      </c>
      <c r="AY58" s="17">
        <f t="shared" si="4"/>
        <v>0</v>
      </c>
      <c r="AZ58" s="17">
        <f t="shared" si="4"/>
        <v>0</v>
      </c>
      <c r="BA58" s="17">
        <f t="shared" si="4"/>
        <v>0</v>
      </c>
      <c r="BB58" s="17">
        <f t="shared" si="4"/>
        <v>0</v>
      </c>
      <c r="BC58" s="17">
        <f t="shared" si="4"/>
        <v>0</v>
      </c>
      <c r="BD58" s="17">
        <f t="shared" si="4"/>
        <v>0</v>
      </c>
      <c r="BE58" s="17">
        <f t="shared" si="4"/>
        <v>0</v>
      </c>
      <c r="BF58" s="17">
        <f t="shared" si="4"/>
        <v>0</v>
      </c>
      <c r="BG58" s="17">
        <f t="shared" si="4"/>
        <v>0</v>
      </c>
    </row>
    <row r="59" spans="1:59" x14ac:dyDescent="0.25">
      <c r="B59" s="17">
        <f>SUM(B30:B39)-B40</f>
        <v>0</v>
      </c>
      <c r="C59" s="17">
        <f t="shared" ref="C59:BG59" si="5">SUM(C30:C39)-C40</f>
        <v>0</v>
      </c>
      <c r="D59" s="17">
        <f t="shared" si="5"/>
        <v>0</v>
      </c>
      <c r="E59" s="17">
        <f t="shared" si="5"/>
        <v>0</v>
      </c>
      <c r="F59" s="17">
        <f t="shared" si="5"/>
        <v>0</v>
      </c>
      <c r="G59" s="17">
        <f t="shared" si="5"/>
        <v>-1</v>
      </c>
      <c r="H59" s="17">
        <f t="shared" si="5"/>
        <v>0</v>
      </c>
      <c r="I59" s="17">
        <f t="shared" si="5"/>
        <v>0</v>
      </c>
      <c r="J59" s="17">
        <f t="shared" si="5"/>
        <v>0</v>
      </c>
      <c r="K59" s="17">
        <f t="shared" si="5"/>
        <v>0</v>
      </c>
      <c r="L59" s="17">
        <f t="shared" si="5"/>
        <v>0</v>
      </c>
      <c r="M59" s="17">
        <f t="shared" si="5"/>
        <v>0</v>
      </c>
      <c r="N59" s="17">
        <f t="shared" si="5"/>
        <v>0</v>
      </c>
      <c r="O59" s="17">
        <f t="shared" si="5"/>
        <v>0</v>
      </c>
      <c r="P59" s="17">
        <f t="shared" si="5"/>
        <v>0</v>
      </c>
      <c r="Q59" s="17">
        <f t="shared" si="5"/>
        <v>0</v>
      </c>
      <c r="R59" s="17">
        <f t="shared" si="5"/>
        <v>0</v>
      </c>
      <c r="S59" s="17">
        <f t="shared" si="5"/>
        <v>0</v>
      </c>
      <c r="T59" s="17">
        <f t="shared" si="5"/>
        <v>0</v>
      </c>
      <c r="U59" s="17">
        <f t="shared" si="5"/>
        <v>0</v>
      </c>
      <c r="V59" s="17">
        <f t="shared" si="5"/>
        <v>0</v>
      </c>
      <c r="W59" s="17">
        <f t="shared" si="5"/>
        <v>0</v>
      </c>
      <c r="X59" s="17">
        <f t="shared" si="5"/>
        <v>0</v>
      </c>
      <c r="Y59" s="17">
        <f t="shared" si="5"/>
        <v>0</v>
      </c>
      <c r="Z59" s="17">
        <f t="shared" si="5"/>
        <v>0</v>
      </c>
      <c r="AA59" s="17">
        <f t="shared" si="5"/>
        <v>0</v>
      </c>
      <c r="AB59" s="17">
        <f t="shared" si="5"/>
        <v>0</v>
      </c>
      <c r="AC59" s="17">
        <f t="shared" si="5"/>
        <v>0</v>
      </c>
      <c r="AD59" s="17">
        <f t="shared" si="5"/>
        <v>0</v>
      </c>
      <c r="AE59" s="17">
        <f t="shared" si="5"/>
        <v>0</v>
      </c>
      <c r="AF59" s="17">
        <f t="shared" si="5"/>
        <v>0</v>
      </c>
      <c r="AG59" s="17">
        <f t="shared" si="5"/>
        <v>0</v>
      </c>
      <c r="AH59" s="17">
        <f t="shared" si="5"/>
        <v>0</v>
      </c>
      <c r="AI59" s="17">
        <f t="shared" si="5"/>
        <v>0</v>
      </c>
      <c r="AJ59" s="17">
        <f t="shared" si="5"/>
        <v>0</v>
      </c>
      <c r="AK59" s="17">
        <f t="shared" si="5"/>
        <v>0</v>
      </c>
      <c r="AL59" s="17">
        <f t="shared" si="5"/>
        <v>0</v>
      </c>
      <c r="AM59" s="17">
        <f t="shared" si="5"/>
        <v>0</v>
      </c>
      <c r="AN59" s="17">
        <f t="shared" si="5"/>
        <v>0</v>
      </c>
      <c r="AO59" s="17">
        <f t="shared" si="5"/>
        <v>0</v>
      </c>
      <c r="AP59" s="17">
        <f t="shared" si="5"/>
        <v>0</v>
      </c>
      <c r="AQ59" s="17">
        <f t="shared" si="5"/>
        <v>0</v>
      </c>
      <c r="AR59" s="17">
        <f t="shared" si="5"/>
        <v>0</v>
      </c>
      <c r="AS59" s="17">
        <f t="shared" si="5"/>
        <v>0</v>
      </c>
      <c r="AT59" s="17">
        <f t="shared" si="5"/>
        <v>0</v>
      </c>
      <c r="AU59" s="17">
        <f t="shared" si="5"/>
        <v>0</v>
      </c>
      <c r="AV59" s="17">
        <f t="shared" si="5"/>
        <v>0</v>
      </c>
      <c r="AW59" s="17">
        <f t="shared" si="5"/>
        <v>0</v>
      </c>
      <c r="AX59" s="17">
        <f t="shared" si="5"/>
        <v>0</v>
      </c>
      <c r="AY59" s="17">
        <f t="shared" si="5"/>
        <v>0</v>
      </c>
      <c r="AZ59" s="17">
        <f t="shared" si="5"/>
        <v>0</v>
      </c>
      <c r="BA59" s="17">
        <f t="shared" si="5"/>
        <v>0</v>
      </c>
      <c r="BB59" s="17">
        <f t="shared" si="5"/>
        <v>0</v>
      </c>
      <c r="BC59" s="17">
        <f t="shared" si="5"/>
        <v>0</v>
      </c>
      <c r="BD59" s="17">
        <f t="shared" si="5"/>
        <v>0</v>
      </c>
      <c r="BE59" s="17">
        <f t="shared" si="5"/>
        <v>0</v>
      </c>
      <c r="BF59" s="17">
        <f t="shared" si="5"/>
        <v>0</v>
      </c>
      <c r="BG59" s="17">
        <f t="shared" si="5"/>
        <v>0</v>
      </c>
    </row>
    <row r="60" spans="1:59" x14ac:dyDescent="0.25">
      <c r="B60" s="17">
        <f>SUM(B42:B47)-B48</f>
        <v>0</v>
      </c>
      <c r="C60" s="17">
        <f t="shared" ref="C60:BG60" si="6">SUM(C42:C47)-C48</f>
        <v>0</v>
      </c>
      <c r="D60" s="17">
        <f t="shared" si="6"/>
        <v>0</v>
      </c>
      <c r="E60" s="17">
        <f t="shared" si="6"/>
        <v>0</v>
      </c>
      <c r="F60" s="17">
        <f t="shared" si="6"/>
        <v>0</v>
      </c>
      <c r="G60" s="17">
        <f t="shared" si="6"/>
        <v>0</v>
      </c>
      <c r="H60" s="17">
        <f t="shared" si="6"/>
        <v>0</v>
      </c>
      <c r="I60" s="17">
        <f t="shared" si="6"/>
        <v>0</v>
      </c>
      <c r="J60" s="17">
        <f t="shared" si="6"/>
        <v>0</v>
      </c>
      <c r="K60" s="17">
        <f t="shared" si="6"/>
        <v>0</v>
      </c>
      <c r="L60" s="17">
        <f t="shared" si="6"/>
        <v>0</v>
      </c>
      <c r="M60" s="17">
        <f t="shared" si="6"/>
        <v>0</v>
      </c>
      <c r="N60" s="17">
        <f t="shared" si="6"/>
        <v>0</v>
      </c>
      <c r="O60" s="17">
        <f t="shared" si="6"/>
        <v>0</v>
      </c>
      <c r="P60" s="17">
        <f t="shared" si="6"/>
        <v>0</v>
      </c>
      <c r="Q60" s="17">
        <f t="shared" si="6"/>
        <v>0</v>
      </c>
      <c r="R60" s="17">
        <f t="shared" si="6"/>
        <v>0</v>
      </c>
      <c r="S60" s="17">
        <f t="shared" si="6"/>
        <v>0</v>
      </c>
      <c r="T60" s="17">
        <f t="shared" si="6"/>
        <v>0</v>
      </c>
      <c r="U60" s="17">
        <f t="shared" si="6"/>
        <v>0</v>
      </c>
      <c r="V60" s="17">
        <f t="shared" si="6"/>
        <v>0</v>
      </c>
      <c r="W60" s="17">
        <f t="shared" si="6"/>
        <v>0</v>
      </c>
      <c r="X60" s="17">
        <f t="shared" si="6"/>
        <v>0</v>
      </c>
      <c r="Y60" s="17">
        <f t="shared" si="6"/>
        <v>0</v>
      </c>
      <c r="Z60" s="17">
        <f t="shared" si="6"/>
        <v>0</v>
      </c>
      <c r="AA60" s="17">
        <f t="shared" si="6"/>
        <v>0</v>
      </c>
      <c r="AB60" s="17">
        <f t="shared" si="6"/>
        <v>0</v>
      </c>
      <c r="AC60" s="17">
        <f t="shared" si="6"/>
        <v>0</v>
      </c>
      <c r="AD60" s="17">
        <f t="shared" si="6"/>
        <v>0</v>
      </c>
      <c r="AE60" s="17">
        <f t="shared" si="6"/>
        <v>0</v>
      </c>
      <c r="AF60" s="17">
        <f t="shared" si="6"/>
        <v>0</v>
      </c>
      <c r="AG60" s="17">
        <f t="shared" si="6"/>
        <v>0</v>
      </c>
      <c r="AH60" s="17">
        <f t="shared" si="6"/>
        <v>0</v>
      </c>
      <c r="AI60" s="17">
        <f t="shared" si="6"/>
        <v>0</v>
      </c>
      <c r="AJ60" s="17">
        <f t="shared" si="6"/>
        <v>0</v>
      </c>
      <c r="AK60" s="17">
        <f t="shared" si="6"/>
        <v>0</v>
      </c>
      <c r="AL60" s="17">
        <f t="shared" si="6"/>
        <v>0</v>
      </c>
      <c r="AM60" s="17">
        <f t="shared" si="6"/>
        <v>0</v>
      </c>
      <c r="AN60" s="17">
        <f t="shared" si="6"/>
        <v>0</v>
      </c>
      <c r="AO60" s="17">
        <f t="shared" si="6"/>
        <v>0</v>
      </c>
      <c r="AP60" s="17">
        <f t="shared" si="6"/>
        <v>0</v>
      </c>
      <c r="AQ60" s="17">
        <f t="shared" si="6"/>
        <v>0</v>
      </c>
      <c r="AR60" s="17">
        <f t="shared" si="6"/>
        <v>0</v>
      </c>
      <c r="AS60" s="17">
        <f t="shared" si="6"/>
        <v>0</v>
      </c>
      <c r="AT60" s="17">
        <f t="shared" si="6"/>
        <v>0</v>
      </c>
      <c r="AU60" s="17">
        <f t="shared" si="6"/>
        <v>0</v>
      </c>
      <c r="AV60" s="17">
        <f t="shared" si="6"/>
        <v>0</v>
      </c>
      <c r="AW60" s="17">
        <f t="shared" si="6"/>
        <v>0</v>
      </c>
      <c r="AX60" s="17">
        <f t="shared" si="6"/>
        <v>0</v>
      </c>
      <c r="AY60" s="17">
        <f t="shared" si="6"/>
        <v>0</v>
      </c>
      <c r="AZ60" s="17">
        <f t="shared" si="6"/>
        <v>0</v>
      </c>
      <c r="BA60" s="17">
        <f t="shared" si="6"/>
        <v>0</v>
      </c>
      <c r="BB60" s="17">
        <f t="shared" si="6"/>
        <v>0</v>
      </c>
      <c r="BC60" s="17">
        <f t="shared" si="6"/>
        <v>0</v>
      </c>
      <c r="BD60" s="17">
        <f t="shared" si="6"/>
        <v>0</v>
      </c>
      <c r="BE60" s="17">
        <f t="shared" si="6"/>
        <v>0</v>
      </c>
      <c r="BF60" s="17">
        <f t="shared" si="6"/>
        <v>0</v>
      </c>
      <c r="BG60" s="17">
        <f t="shared" si="6"/>
        <v>0</v>
      </c>
    </row>
    <row r="61" spans="1:59" x14ac:dyDescent="0.25">
      <c r="B61" s="17">
        <f>B49-B48-B40-B28</f>
        <v>-1</v>
      </c>
      <c r="C61" s="17">
        <f t="shared" ref="C61:BG61" si="7">C49-C48-C40-C28</f>
        <v>0</v>
      </c>
      <c r="D61" s="17">
        <f t="shared" si="7"/>
        <v>0</v>
      </c>
      <c r="E61" s="17">
        <f t="shared" si="7"/>
        <v>0</v>
      </c>
      <c r="F61" s="17">
        <f t="shared" si="7"/>
        <v>0</v>
      </c>
      <c r="G61" s="17">
        <f t="shared" si="7"/>
        <v>0</v>
      </c>
      <c r="H61" s="17">
        <f t="shared" si="7"/>
        <v>0</v>
      </c>
      <c r="I61" s="17">
        <f t="shared" si="7"/>
        <v>0</v>
      </c>
      <c r="J61" s="17">
        <f t="shared" si="7"/>
        <v>0</v>
      </c>
      <c r="K61" s="17">
        <f t="shared" si="7"/>
        <v>0</v>
      </c>
      <c r="L61" s="17">
        <f t="shared" si="7"/>
        <v>0</v>
      </c>
      <c r="M61" s="17">
        <f t="shared" si="7"/>
        <v>0</v>
      </c>
      <c r="N61" s="17">
        <f t="shared" si="7"/>
        <v>0</v>
      </c>
      <c r="O61" s="17">
        <f t="shared" si="7"/>
        <v>0</v>
      </c>
      <c r="P61" s="17">
        <f t="shared" si="7"/>
        <v>0</v>
      </c>
      <c r="Q61" s="17">
        <f t="shared" si="7"/>
        <v>0</v>
      </c>
      <c r="R61" s="17">
        <f t="shared" si="7"/>
        <v>0</v>
      </c>
      <c r="S61" s="17">
        <f t="shared" si="7"/>
        <v>0</v>
      </c>
      <c r="T61" s="17">
        <f t="shared" si="7"/>
        <v>0</v>
      </c>
      <c r="U61" s="17">
        <f t="shared" si="7"/>
        <v>0</v>
      </c>
      <c r="V61" s="17">
        <f t="shared" si="7"/>
        <v>0</v>
      </c>
      <c r="W61" s="17">
        <f t="shared" si="7"/>
        <v>0</v>
      </c>
      <c r="X61" s="17">
        <f t="shared" si="7"/>
        <v>0</v>
      </c>
      <c r="Y61" s="17">
        <f t="shared" si="7"/>
        <v>0</v>
      </c>
      <c r="Z61" s="17">
        <f t="shared" si="7"/>
        <v>0</v>
      </c>
      <c r="AA61" s="17">
        <f t="shared" si="7"/>
        <v>0</v>
      </c>
      <c r="AB61" s="17">
        <f t="shared" si="7"/>
        <v>0</v>
      </c>
      <c r="AC61" s="17">
        <f t="shared" si="7"/>
        <v>0</v>
      </c>
      <c r="AD61" s="17">
        <f t="shared" si="7"/>
        <v>0</v>
      </c>
      <c r="AE61" s="17">
        <f t="shared" si="7"/>
        <v>0</v>
      </c>
      <c r="AF61" s="17">
        <f t="shared" si="7"/>
        <v>0</v>
      </c>
      <c r="AG61" s="17">
        <f t="shared" si="7"/>
        <v>0</v>
      </c>
      <c r="AH61" s="17">
        <f t="shared" si="7"/>
        <v>0</v>
      </c>
      <c r="AI61" s="17">
        <f t="shared" si="7"/>
        <v>0</v>
      </c>
      <c r="AJ61" s="17">
        <f t="shared" si="7"/>
        <v>0</v>
      </c>
      <c r="AK61" s="17">
        <f t="shared" si="7"/>
        <v>0</v>
      </c>
      <c r="AL61" s="17">
        <f t="shared" si="7"/>
        <v>0</v>
      </c>
      <c r="AM61" s="17">
        <f t="shared" si="7"/>
        <v>0</v>
      </c>
      <c r="AN61" s="17">
        <f t="shared" si="7"/>
        <v>0</v>
      </c>
      <c r="AO61" s="17">
        <f t="shared" si="7"/>
        <v>0</v>
      </c>
      <c r="AP61" s="17">
        <f t="shared" si="7"/>
        <v>0</v>
      </c>
      <c r="AQ61" s="17">
        <f t="shared" si="7"/>
        <v>0</v>
      </c>
      <c r="AR61" s="17">
        <f t="shared" si="7"/>
        <v>0</v>
      </c>
      <c r="AS61" s="17">
        <f t="shared" si="7"/>
        <v>0</v>
      </c>
      <c r="AT61" s="17">
        <f t="shared" si="7"/>
        <v>0</v>
      </c>
      <c r="AU61" s="17">
        <f t="shared" si="7"/>
        <v>0</v>
      </c>
      <c r="AV61" s="17">
        <f t="shared" si="7"/>
        <v>0</v>
      </c>
      <c r="AW61" s="17">
        <f t="shared" si="7"/>
        <v>0</v>
      </c>
      <c r="AX61" s="17">
        <f t="shared" si="7"/>
        <v>0</v>
      </c>
      <c r="AY61" s="17">
        <f t="shared" si="7"/>
        <v>0</v>
      </c>
      <c r="AZ61" s="17">
        <f t="shared" si="7"/>
        <v>0</v>
      </c>
      <c r="BA61" s="17">
        <f t="shared" si="7"/>
        <v>0</v>
      </c>
      <c r="BB61" s="17">
        <f t="shared" si="7"/>
        <v>0</v>
      </c>
      <c r="BC61" s="17">
        <f t="shared" si="7"/>
        <v>0</v>
      </c>
      <c r="BD61" s="17">
        <f t="shared" si="7"/>
        <v>0</v>
      </c>
      <c r="BE61" s="17">
        <f t="shared" si="7"/>
        <v>0</v>
      </c>
      <c r="BF61" s="17">
        <f t="shared" si="7"/>
        <v>0</v>
      </c>
      <c r="BG61" s="17">
        <f t="shared" si="7"/>
        <v>0</v>
      </c>
    </row>
    <row r="62" spans="1:59" x14ac:dyDescent="0.25">
      <c r="U62" s="13" t="s">
        <v>205</v>
      </c>
      <c r="V62" s="13" t="s">
        <v>205</v>
      </c>
      <c r="W62" s="13" t="s">
        <v>205</v>
      </c>
    </row>
  </sheetData>
  <conditionalFormatting sqref="B55:BG55">
    <cfRule type="containsText" dxfId="1" priority="2" operator="containsText" text="FALSE">
      <formula>NOT(ISERROR(SEARCH("FALSE",B55)))</formula>
    </cfRule>
  </conditionalFormatting>
  <conditionalFormatting sqref="B55:BG61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CDKT</vt:lpstr>
      <vt:lpstr>KQKD</vt:lpstr>
      <vt:lpstr>LCTT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BHBV</dc:creator>
  <cp:lastModifiedBy>Khang Ly</cp:lastModifiedBy>
  <dcterms:created xsi:type="dcterms:W3CDTF">2026-09-23T08:41:10Z</dcterms:created>
  <dcterms:modified xsi:type="dcterms:W3CDTF">2026-10-04T17:22:31Z</dcterms:modified>
</cp:coreProperties>
</file>